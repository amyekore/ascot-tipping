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esktop/"/>
    </mc:Choice>
  </mc:AlternateContent>
  <xr:revisionPtr revIDLastSave="125" documentId="13_ncr:1_{D69588C9-C99A-444E-8716-C3CC7EB9F9ED}" xr6:coauthVersionLast="47" xr6:coauthVersionMax="47" xr10:uidLastSave="{7A869977-79CE-4ED1-BE84-ED93377F388C}"/>
  <bookViews>
    <workbookView xWindow="-28920" yWindow="-120" windowWidth="29040" windowHeight="15720" tabRatio="500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<sst xmlns="http://schemas.openxmlformats.org/spreadsheetml/2006/main" count="219" uniqueCount="190">
  <si>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</si>
  <si>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</si>
  <si>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</si>
  <si>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</si>
  <si>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</si>
  <si>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</si>
  <si>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</si>
  <si>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</si>
  <si>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</si>
  <si>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</si>
  <si>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</si>
  <si>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</si>
  <si>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</si>
  <si>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</si>
  <si>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</si>
  <si>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</si>
  <si>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</si>
  <si>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</si>
  <si>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</si>
  <si>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</si>
  <si>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</si>
  <si>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</si>
  <si>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</si>
  <si>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</si>
  <si>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</si>
  <si>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</si>
  <si>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</si>
  <si>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</si>
  <si>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</si>
  <si>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</si>
  <si>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</si>
  <si>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</si>
  <si>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</si>
  <si>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</si>
  <si>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</si>
  <si>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</si>
  <si>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</si>
  <si>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</si>
  <si>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</si>
  <si>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</si>
  <si>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</si>
  <si>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</si>
  <si>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</si>
  <si>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</si>
  <si>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</si>
  <si>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</si>
  <si>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</si>
  <si>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</si>
  <si>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</si>
  <si>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</si>
  <si>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</si>
  <si>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</si>
  <si>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</si>
  <si>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</si>
  <si>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</si>
  <si>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</si>
  <si>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</si>
  <si>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</si>
  <si>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</si>
  <si>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</si>
  <si>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</si>
  <si>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</si>
  <si>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</si>
  <si>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</si>
  <si>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</si>
  <si>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</si>
  <si>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</si>
  <si>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</si>
  <si>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</si>
  <si>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</si>
  <si>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</si>
  <si>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</si>
  <si>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</si>
  <si>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</si>
  <si>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</si>
  <si>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</si>
  <si>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</si>
  <si>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</si>
  <si>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</si>
  <si>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</si>
  <si>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</si>
  <si>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</si>
  <si>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</si>
  <si>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</si>
  <si>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</si>
  <si>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</si>
  <si>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</si>
  <si>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</si>
  <si>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</si>
  <si>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</si>
  <si>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</si>
  <si>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</si>
  <si>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</si>
  <si>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</si>
  <si>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</si>
  <si>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</si>
  <si>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</si>
  <si>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</si>
  <si>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</si>
  <si>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</si>
  <si>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</si>
  <si>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</si>
  <si>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</si>
  <si>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</si>
  <si>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</si>
  <si>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</si>
  <si>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</si>
  <si>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</si>
  <si>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</si>
  <si>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</si>
  <si>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</si>
  <si>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</si>
  <si>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</si>
  <si>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</si>
  <si>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</si>
  <si>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</si>
  <si>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</si>
  <si>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</si>
  <si>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</si>
  <si>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</si>
  <si>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</si>
  <si>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</si>
  <si>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</si>
  <si>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</si>
  <si>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</si>
  <si>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</si>
  <si>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</si>
  <si>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</si>
  <si>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</si>
  <si>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</si>
  <si>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</si>
  <si>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Who's Lope</t>
  </si>
  <si>
    <t>Charles Darnay</t>
  </si>
  <si>
    <t>Bnaider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</si>
  <si>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</si>
  <si>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</si>
  <si>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</si>
  <si>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</si>
  <si>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</si>
  <si>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</si>
  <si>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</si>
  <si>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</si>
  <si>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</si>
  <si>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</si>
  <si>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</si>
  <si>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</si>
  <si>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</si>
  <si>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</si>
  <si>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</si>
  <si>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</si>
  <si>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</si>
  <si>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</si>
  <si>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</si>
  <si>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</si>
  <si>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</si>
  <si>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</si>
  <si>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</si>
  <si>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</si>
  <si>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</si>
  <si>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</si>
  <si>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</si>
  <si>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</si>
  <si>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</si>
  <si>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</si>
  <si>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</si>
  <si>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</si>
  <si>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</si>
  <si>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</si>
  <si>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</si>
  <si>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</si>
  <si>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</si>
  <si>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</si>
  <si>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Bobby McGee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</si>
  <si>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</si>
  <si>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</si>
  <si>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</si>
  <si>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</si>
  <si>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</si>
  <si>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</si>
  <si>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</si>
  <si>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</si>
  <si>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</si>
  <si>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</si>
  <si>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</si>
  <si>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</si>
  <si>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</si>
  <si>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</si>
  <si>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</si>
  <si>
    <t>Synners Kid</t>
  </si>
  <si>
    <t>Wild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</si>
</sst>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B31" sqref="B31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topLeftCell="A4" zoomScaleNormal="100" workbookViewId="0">
      <selection activeCell="C27" sqref="C27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 t="s">
        <v>97</v>
      </c>
      <c r="C4" s="9" t="s">
        <v>112</v>
      </c>
      <c r="D4" s="9" t="s">
        <v>134</v>
      </c>
      <c r="E4" s="9" t="s">
        <v>146</v>
      </c>
      <c r="F4" s="9" t="s">
        <v>157</v>
      </c>
    </row>
    <row r="5" spans="1:6" x14ac:dyDescent="0.3">
      <c r="A5" s="10">
        <v>2</v>
      </c>
      <c r="B5" s="11" t="s">
        <v>98</v>
      </c>
      <c r="C5" s="11" t="s">
        <v>113</v>
      </c>
      <c r="D5" s="11" t="s">
        <v>135</v>
      </c>
      <c r="E5" s="11" t="s">
        <v>147</v>
      </c>
      <c r="F5" s="11" t="s">
        <v>158</v>
      </c>
    </row>
    <row r="6" spans="1:6" x14ac:dyDescent="0.3">
      <c r="A6" s="8">
        <v>3</v>
      </c>
      <c r="B6" s="9" t="s">
        <v>99</v>
      </c>
      <c r="C6" s="9" t="s">
        <v>114</v>
      </c>
      <c r="D6" s="9" t="s">
        <v>136</v>
      </c>
      <c r="E6" s="9" t="s">
        <v>148</v>
      </c>
      <c r="F6" s="9" t="s">
        <v>159</v>
      </c>
    </row>
    <row r="7" spans="1:6" x14ac:dyDescent="0.3">
      <c r="A7" s="10">
        <v>4</v>
      </c>
      <c r="B7" s="11" t="s">
        <v>100</v>
      </c>
      <c r="C7" s="11" t="s">
        <v>115</v>
      </c>
      <c r="D7" s="11" t="s">
        <v>137</v>
      </c>
      <c r="E7" s="11" t="s">
        <v>149</v>
      </c>
      <c r="F7" s="11" t="s">
        <v>160</v>
      </c>
    </row>
    <row r="8" spans="1:6" x14ac:dyDescent="0.3">
      <c r="A8" s="8">
        <v>5</v>
      </c>
      <c r="B8" s="9" t="s">
        <v>101</v>
      </c>
      <c r="C8" s="9" t="s">
        <v>116</v>
      </c>
      <c r="D8" s="9" t="s">
        <v>138</v>
      </c>
      <c r="E8" s="9" t="s">
        <v>150</v>
      </c>
      <c r="F8" s="9" t="s">
        <v>161</v>
      </c>
    </row>
    <row r="9" spans="1:6" x14ac:dyDescent="0.3">
      <c r="A9" s="10">
        <v>6</v>
      </c>
      <c r="B9" s="11" t="s">
        <v>102</v>
      </c>
      <c r="C9" s="11" t="s">
        <v>117</v>
      </c>
      <c r="D9" s="11" t="s">
        <v>139</v>
      </c>
      <c r="E9" s="11" t="s">
        <v>151</v>
      </c>
      <c r="F9" s="11" t="s">
        <v>162</v>
      </c>
    </row>
    <row r="10" spans="1:6" x14ac:dyDescent="0.3">
      <c r="A10" s="8">
        <v>7</v>
      </c>
      <c r="B10" s="9" t="s">
        <v>103</v>
      </c>
      <c r="C10" s="9" t="s">
        <v>118</v>
      </c>
      <c r="D10" s="9" t="s">
        <v>140</v>
      </c>
      <c r="E10" s="9" t="s">
        <v>152</v>
      </c>
      <c r="F10" s="9" t="s">
        <v>163</v>
      </c>
    </row>
    <row r="11" spans="1:6" x14ac:dyDescent="0.3">
      <c r="A11" s="10">
        <v>8</v>
      </c>
      <c r="B11" s="11" t="s">
        <v>104</v>
      </c>
      <c r="C11" s="11" t="s">
        <v>119</v>
      </c>
      <c r="D11" s="11" t="s">
        <v>141</v>
      </c>
      <c r="E11" s="11" t="s">
        <v>153</v>
      </c>
      <c r="F11" s="11" t="s">
        <v>164</v>
      </c>
    </row>
    <row r="12" spans="1:6" x14ac:dyDescent="0.3">
      <c r="A12" s="8">
        <v>9</v>
      </c>
      <c r="B12" s="9" t="s">
        <v>105</v>
      </c>
      <c r="C12" s="9" t="s">
        <v>120</v>
      </c>
      <c r="D12" s="9" t="s">
        <v>142</v>
      </c>
      <c r="E12" s="9" t="s">
        <v>154</v>
      </c>
      <c r="F12" s="9" t="s">
        <v>165</v>
      </c>
    </row>
    <row r="13" spans="1:6" x14ac:dyDescent="0.3">
      <c r="A13" s="10">
        <v>10</v>
      </c>
      <c r="B13" s="11" t="s">
        <v>106</v>
      </c>
      <c r="C13" s="11" t="s">
        <v>121</v>
      </c>
      <c r="D13" s="11" t="s">
        <v>143</v>
      </c>
      <c r="E13" s="11" t="s">
        <v>155</v>
      </c>
      <c r="F13" s="11" t="s">
        <v>166</v>
      </c>
    </row>
    <row r="14" spans="1:6" x14ac:dyDescent="0.3">
      <c r="A14" s="8">
        <v>11</v>
      </c>
      <c r="B14" s="9" t="s">
        <v>107</v>
      </c>
      <c r="C14" s="9" t="s">
        <v>122</v>
      </c>
      <c r="D14" s="9" t="s">
        <v>144</v>
      </c>
      <c r="E14" s="9" t="s">
        <v>156</v>
      </c>
      <c r="F14" s="9" t="s">
        <v>167</v>
      </c>
    </row>
    <row r="15" spans="1:6" x14ac:dyDescent="0.3">
      <c r="A15" s="10">
        <v>12</v>
      </c>
      <c r="B15" s="11" t="s">
        <v>108</v>
      </c>
      <c r="C15" s="11" t="s">
        <v>123</v>
      </c>
      <c r="D15" s="11" t="s">
        <v>145</v>
      </c>
      <c r="E15" s="11"/>
      <c r="F15" s="11" t="s">
        <v>168</v>
      </c>
    </row>
    <row r="16" spans="1:6" x14ac:dyDescent="0.3">
      <c r="A16" s="8">
        <v>13</v>
      </c>
      <c r="B16" s="9" t="s">
        <v>109</v>
      </c>
      <c r="C16" s="9" t="s">
        <v>124</v>
      </c>
      <c r="D16" s="9"/>
      <c r="E16" s="9"/>
      <c r="F16" s="9" t="s">
        <v>169</v>
      </c>
    </row>
    <row r="17" spans="1:6" x14ac:dyDescent="0.3">
      <c r="A17" s="10">
        <v>14</v>
      </c>
      <c r="B17" s="11" t="s">
        <v>110</v>
      </c>
      <c r="C17" s="11" t="s">
        <v>125</v>
      </c>
      <c r="D17" s="11"/>
      <c r="E17" s="11"/>
      <c r="F17" s="11" t="s">
        <v>170</v>
      </c>
    </row>
    <row r="18" spans="1:6" x14ac:dyDescent="0.3">
      <c r="A18" s="8">
        <v>15</v>
      </c>
      <c r="B18" s="9" t="s">
        <v>111</v>
      </c>
      <c r="C18" s="9" t="s">
        <v>126</v>
      </c>
      <c r="D18" s="9"/>
      <c r="E18" s="9"/>
      <c r="F18" s="9" t="s">
        <v>171</v>
      </c>
    </row>
    <row r="19" spans="1:6" x14ac:dyDescent="0.3">
      <c r="A19" s="10">
        <v>16</v>
      </c>
      <c r="B19" s="11"/>
      <c r="C19" s="11" t="s">
        <v>127</v>
      </c>
      <c r="D19" s="11"/>
      <c r="E19" s="11"/>
      <c r="F19" s="11" t="s">
        <v>172</v>
      </c>
    </row>
    <row r="20" spans="1:6" x14ac:dyDescent="0.3">
      <c r="A20" s="8">
        <v>17</v>
      </c>
      <c r="B20" s="9"/>
      <c r="C20" s="9" t="s">
        <v>128</v>
      </c>
      <c r="D20" s="9"/>
      <c r="E20" s="9"/>
      <c r="F20" s="9" t="s">
        <v>173</v>
      </c>
    </row>
    <row r="21" spans="1:6" x14ac:dyDescent="0.3">
      <c r="A21" s="10">
        <v>18</v>
      </c>
      <c r="B21" s="11"/>
      <c r="C21" s="11" t="s">
        <v>129</v>
      </c>
      <c r="D21" s="11"/>
      <c r="E21" s="11"/>
      <c r="F21" s="11" t="s">
        <v>174</v>
      </c>
    </row>
    <row r="22" spans="1:6" x14ac:dyDescent="0.3">
      <c r="A22" s="8">
        <v>19</v>
      </c>
      <c r="B22" s="9"/>
      <c r="C22" s="9" t="s">
        <v>130</v>
      </c>
      <c r="D22" s="9"/>
      <c r="E22" s="9"/>
      <c r="F22" s="9" t="s">
        <v>175</v>
      </c>
    </row>
    <row r="23" spans="1:6" x14ac:dyDescent="0.3">
      <c r="A23" s="10">
        <v>20</v>
      </c>
      <c r="B23" s="11"/>
      <c r="C23" s="11" t="s">
        <v>131</v>
      </c>
      <c r="D23" s="11"/>
      <c r="E23" s="11"/>
      <c r="F23" s="11" t="s">
        <v>176</v>
      </c>
    </row>
    <row r="24" spans="1:6" x14ac:dyDescent="0.3">
      <c r="A24" s="8">
        <v>21</v>
      </c>
      <c r="B24" s="9"/>
      <c r="C24" s="9" t="s">
        <v>132</v>
      </c>
      <c r="D24" s="9"/>
      <c r="E24" s="9"/>
      <c r="F24" s="9" t="s">
        <v>177</v>
      </c>
    </row>
    <row r="25" spans="1:6" x14ac:dyDescent="0.3">
      <c r="A25" s="10">
        <v>22</v>
      </c>
      <c r="B25" s="11"/>
      <c r="C25" s="11" t="s">
        <v>133</v>
      </c>
      <c r="D25" s="11"/>
      <c r="E25" s="11"/>
      <c r="F25" s="11" t="s">
        <v>178</v>
      </c>
    </row>
    <row r="26" spans="1:6" x14ac:dyDescent="0.3">
      <c r="A26" s="8">
        <v>23</v>
      </c>
      <c r="B26" s="9"/>
      <c r="C26" s="9"/>
      <c r="D26" s="9"/>
      <c r="E26" s="9"/>
      <c r="F26" s="9" t="s">
        <v>179</v>
      </c>
    </row>
    <row r="27" spans="1:6" x14ac:dyDescent="0.3">
      <c r="A27" s="10">
        <v>24</v>
      </c>
      <c r="B27" s="11"/>
      <c r="C27" s="11"/>
      <c r="D27" s="11"/>
      <c r="E27" s="11"/>
      <c r="F27" s="11" t="s">
        <v>180</v>
      </c>
    </row>
    <row r="28" spans="1:6" x14ac:dyDescent="0.3">
      <c r="A28" s="8">
        <v>25</v>
      </c>
      <c r="B28" s="9"/>
      <c r="C28" s="9"/>
      <c r="D28" s="9"/>
      <c r="E28" s="9"/>
      <c r="F28" s="9" t="s">
        <v>181</v>
      </c>
    </row>
    <row r="29" spans="1:6" x14ac:dyDescent="0.3">
      <c r="A29" s="10">
        <v>26</v>
      </c>
      <c r="B29" s="11"/>
      <c r="C29" s="11"/>
      <c r="D29" s="11"/>
      <c r="E29" s="11"/>
      <c r="F29" s="11" t="s">
        <v>182</v>
      </c>
    </row>
    <row r="30" spans="1:6" x14ac:dyDescent="0.3">
      <c r="A30" s="8">
        <v>27</v>
      </c>
      <c r="B30" s="9"/>
      <c r="C30" s="9"/>
      <c r="D30" s="9"/>
      <c r="E30" s="9"/>
      <c r="F30" s="9" t="s">
        <v>183</v>
      </c>
    </row>
    <row r="31" spans="1:6" x14ac:dyDescent="0.3">
      <c r="A31" s="10">
        <v>28</v>
      </c>
      <c r="B31" s="11"/>
      <c r="C31" s="11"/>
      <c r="D31" s="11"/>
      <c r="E31" s="11"/>
      <c r="F31" s="11" t="s">
        <v>184</v>
      </c>
    </row>
    <row r="32" spans="1:6" x14ac:dyDescent="0.3">
      <c r="A32" s="8">
        <v>29</v>
      </c>
      <c r="B32" s="9"/>
      <c r="C32" s="9"/>
      <c r="D32" s="9"/>
      <c r="E32" s="9"/>
      <c r="F32" s="9" t="s">
        <v>185</v>
      </c>
    </row>
    <row r="33" spans="1:6" x14ac:dyDescent="0.3">
      <c r="A33" s="8">
        <v>30</v>
      </c>
      <c r="B33" s="9"/>
      <c r="C33" s="9"/>
      <c r="D33" s="9"/>
      <c r="E33" s="9"/>
      <c r="F33" s="9" t="s">
        <v>186</v>
      </c>
    </row>
    <row r="34" spans="1:6" x14ac:dyDescent="0.3">
      <c r="A34" s="8">
        <v>31</v>
      </c>
      <c r="B34" s="9"/>
      <c r="C34" s="9"/>
      <c r="D34" s="9"/>
      <c r="E34" s="9"/>
      <c r="F34" s="9" t="s">
        <v>187</v>
      </c>
    </row>
    <row r="35" spans="1:6" x14ac:dyDescent="0.3">
      <c r="A35" s="8">
        <v>32</v>
      </c>
      <c r="B35" s="9"/>
      <c r="C35" s="9"/>
      <c r="D35" s="9"/>
      <c r="E35" s="9"/>
      <c r="F35" s="9" t="s">
        <v>188</v>
      </c>
    </row>
    <row r="36" spans="1:6" x14ac:dyDescent="0.3">
      <c r="A36" s="10">
        <v>33</v>
      </c>
      <c r="B36" s="11"/>
      <c r="C36" s="11"/>
      <c r="D36" s="11"/>
      <c r="E36" s="11"/>
      <c r="F36" s="11" t="s">
        <v>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K9" sqref="K9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 t="s">
        <v>104</v>
      </c>
      <c r="C4" s="4" t="s">
        <v>105</v>
      </c>
      <c r="D4" s="4" t="s">
        <v>103</v>
      </c>
      <c r="E4" s="4" t="s">
        <v>102</v>
      </c>
      <c r="F4" s="4" t="s">
        <v>111</v>
      </c>
      <c r="G4" s="4" t="s">
        <v>97</v>
      </c>
    </row>
    <row r="5" spans="1:7" ht="30" customHeight="1" x14ac:dyDescent="0.3">
      <c r="A5" s="6" t="s">
        <v>93</v>
      </c>
      <c r="B5" s="4" t="s">
        <v>127</v>
      </c>
      <c r="C5" s="4" t="s">
        <v>126</v>
      </c>
      <c r="D5" s="4" t="s">
        <v>128</v>
      </c>
      <c r="E5" s="4" t="s">
        <v>129</v>
      </c>
      <c r="F5" s="4" t="s">
        <v>130</v>
      </c>
      <c r="G5" s="4" t="s">
        <v>131</v>
      </c>
    </row>
    <row r="6" spans="1:7" ht="30" customHeight="1" x14ac:dyDescent="0.3">
      <c r="A6" s="6" t="s">
        <v>94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95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8" t="s">
        <v>15</v>
      </c>
      <c r="B11" s="38"/>
      <c r="C11" s="38"/>
      <c r="D11" s="38"/>
      <c r="E11" s="38"/>
      <c r="F11" s="38"/>
      <c r="G11" s="38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9" sqref="F9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27.6" x14ac:dyDescent="0.3">
      <c r="A4" s="15">
        <v>1</v>
      </c>
      <c r="B4" s="16" t="s">
        <v>85</v>
      </c>
      <c r="C4" s="15" t="s">
        <v>104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10</v>
      </c>
      <c r="E4" s="15" t="s">
        <v>125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 t="shared" ref="M4:M33" si="0">IF(COUNTA(D4,F4,H4,J4,L4)=0,"",SUM(D4,F4,H4,J4,L4))</f>
        <v>10</v>
      </c>
    </row>
    <row r="5" spans="1:13" ht="15.6" x14ac:dyDescent="0.3">
      <c r="A5" s="4">
        <v>2</v>
      </c>
      <c r="B5" s="5" t="s">
        <v>84</v>
      </c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 t="s">
        <v>126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6</v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 t="shared" si="0"/>
        <v>6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 t="shared" si="0"/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 t="shared" si="0"/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 t="shared" si="0"/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 t="shared" si="0"/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 t="shared" si="0"/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 t="shared" si="0"/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 t="shared" si="0"/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 t="shared" si="0"/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 t="shared" si="0"/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 t="shared" si="0"/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 t="shared" si="0"/>
        <v>0</v>
      </c>
    </row>
    <row r="17" spans="1:13" ht="15.6" x14ac:dyDescent="0.3">
      <c r="A17" s="4">
        <v>14</v>
      </c>
      <c r="B17" s="5"/>
      <c r="C17" s="4"/>
      <c r="D17" s="17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7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7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 t="shared" si="0"/>
        <v>0</v>
      </c>
    </row>
    <row r="18" spans="1:13" ht="15.6" x14ac:dyDescent="0.3">
      <c r="A18" s="15">
        <v>15</v>
      </c>
      <c r="B18" s="16"/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/>
      <c r="F18" s="17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7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8">
        <f t="shared" si="0"/>
        <v>0</v>
      </c>
    </row>
    <row r="19" spans="1:13" ht="15.6" x14ac:dyDescent="0.3">
      <c r="A19" s="4">
        <v>16</v>
      </c>
      <c r="B19" s="5"/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 t="shared" si="0"/>
        <v>0</v>
      </c>
    </row>
    <row r="20" spans="1:13" ht="15.6" x14ac:dyDescent="0.3">
      <c r="A20" s="15">
        <v>17</v>
      </c>
      <c r="B20" s="16"/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 t="shared" si="0"/>
        <v>0</v>
      </c>
    </row>
    <row r="21" spans="1:13" ht="15.6" x14ac:dyDescent="0.3">
      <c r="A21" s="4">
        <v>18</v>
      </c>
      <c r="B21" s="5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 t="shared" si="0"/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 t="shared" si="0"/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 t="shared" si="0"/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 t="shared" si="0"/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 t="shared" si="0"/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 t="shared" si="0"/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 t="shared" si="0"/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 t="shared" si="0"/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140" yWindow="396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sqref="A1:D1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Mick Hogg</v>
      </c>
      <c r="C3" s="21">
        <f>IFERROR(LARGE('Picks &amp; Scores'!$M$4:$M$33,1),"")</f>
        <v>10</v>
      </c>
      <c r="D3" s="22">
        <f ca="1">IFERROR(COUNTIF(OFFSET('Picks &amp; Scores'!$D$4:$L$33,MATCH(C3,'Picks &amp; Scores'!$M$4:$M$33,0)-1,0,1,11),10),"")</f>
        <v>2</v>
      </c>
    </row>
    <row r="4" spans="1:4" ht="18" x14ac:dyDescent="0.3">
      <c r="A4" s="19">
        <v>2</v>
      </c>
      <c r="B4" s="20" t="str">
        <f>IFERROR(INDEX('Picks &amp; Scores'!$B$4:$B$33,MATCH(LARGE('Picks &amp; Scores'!$M$4:$M$33,2),'Picks &amp; Scores'!$M$4:$M$33,0)),"")</f>
        <v>Steve Burfitt</v>
      </c>
      <c r="C4" s="21">
        <f>IFERROR(LARGE('Picks &amp; Scores'!$M$4:$M$33,2),"")</f>
        <v>6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2026-06-17T11:00:48Z</dcterms:modified>
  <dc:language>en-US</dc:language>
</cp:coreProperties>
</file>