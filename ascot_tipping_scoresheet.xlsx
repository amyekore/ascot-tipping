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567" documentId="13_ncr:1_{D69588C9-C99A-444E-8716-C3CC7EB9F9ED}" xr6:coauthVersionLast="47" xr6:coauthVersionMax="47" xr10:uidLastSave="{70283B9F-187C-4826-9673-B8248E43E9C2}"/>
  <bookViews>
    <workbookView xWindow="-108" yWindow="-108" windowWidth="23256" windowHeight="12456" tabRatio="500" firstSheet="1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2" i="4" l="1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2" i="4" l="1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5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<sst xmlns="http://schemas.openxmlformats.org/spreadsheetml/2006/main" count="351" uniqueCount="183">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</sst>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F33" sqref="F4:F33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B16" sqref="B16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98</v>
      </c>
      <c r="C4" s="4" t="s">
        <v>99</v>
      </c>
      <c r="D4" s="4" t="s">
        <v>108</v>
      </c>
      <c r="E4" s="4" t="s">
        <v>103</v>
      </c>
      <c r="F4" s="4" t="s">
        <v>100</v>
      </c>
      <c r="G4" s="4" t="s">
        <v>110</v>
      </c>
    </row>
    <row r="5" spans="1:7" ht="30" customHeight="1" x14ac:dyDescent="0.3">
      <c r="A5" s="6" t="s">
        <v>92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93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2"/>
  <sheetViews>
    <sheetView tabSelected="1" zoomScaleNormal="100" workbookViewId="0">
      <pane xSplit="2" ySplit="3" topLeftCell="C10" activePane="bottomRight" state="frozen"/>
      <selection pane="topRight" activeCell="C1" sqref="C1"/>
      <selection pane="bottomLeft" activeCell="A4" sqref="A4"/>
      <selection pane="bottomRight" activeCell="G24" sqref="G24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78</v>
      </c>
      <c r="C4" s="15" t="s">
        <v>101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113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139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146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160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2" si="0">IF(COUNTA(D4,F4,H4,J4,L4)=0,"",SUM(D4,F4,H4,J4,L4))</f>
        <v>0</v>
      </c>
    </row>
    <row r="5" spans="1:13" ht="27.6" x14ac:dyDescent="0.3">
      <c r="A5" s="4">
        <v>2</v>
      </c>
      <c r="B5" s="5" t="s">
        <v>65</v>
      </c>
      <c r="C5" s="4" t="s">
        <v>108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4</v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0</v>
      </c>
      <c r="G5" s="4" t="s">
        <v>141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0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155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4</v>
      </c>
    </row>
    <row r="6" spans="1:13" ht="27.6" x14ac:dyDescent="0.3">
      <c r="A6" s="15">
        <v>3</v>
      </c>
      <c r="B6" s="16" t="s">
        <v>64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120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0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162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0</v>
      </c>
    </row>
    <row r="7" spans="1:13" ht="15.6" x14ac:dyDescent="0.3">
      <c r="A7" s="4">
        <v>4</v>
      </c>
      <c r="B7" s="5" t="s">
        <v>82</v>
      </c>
      <c r="C7" s="4" t="s">
        <v>96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127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0</v>
      </c>
      <c r="G7" s="4" t="s">
        <v>138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151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155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0</v>
      </c>
    </row>
    <row r="8" spans="1:13" ht="15.6" x14ac:dyDescent="0.3">
      <c r="A8" s="15">
        <v>5</v>
      </c>
      <c r="B8" s="16" t="s">
        <v>76</v>
      </c>
      <c r="C8" s="15" t="s">
        <v>100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2</v>
      </c>
      <c r="E8" s="15" t="s">
        <v>113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133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0</v>
      </c>
      <c r="I8" s="15" t="s">
        <v>145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179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2</v>
      </c>
    </row>
    <row r="9" spans="1:13" ht="15.6" x14ac:dyDescent="0.3">
      <c r="A9" s="4">
        <v>6</v>
      </c>
      <c r="B9" s="5" t="s">
        <v>83</v>
      </c>
      <c r="C9" s="4" t="s">
        <v>99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6</v>
      </c>
      <c r="E9" s="4" t="s">
        <v>112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136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0</v>
      </c>
      <c r="I9" s="4" t="s">
        <v>143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178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6</v>
      </c>
    </row>
    <row r="10" spans="1:13" ht="15.6" x14ac:dyDescent="0.3">
      <c r="A10" s="15">
        <v>7</v>
      </c>
      <c r="B10" s="16" t="s">
        <v>84</v>
      </c>
      <c r="C10" s="15" t="s">
        <v>96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0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134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0</v>
      </c>
      <c r="I10" s="15" t="s">
        <v>144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159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0</v>
      </c>
    </row>
    <row r="11" spans="1:13" ht="15.6" x14ac:dyDescent="0.3">
      <c r="A11" s="4">
        <v>8</v>
      </c>
      <c r="B11" s="5" t="s">
        <v>71</v>
      </c>
      <c r="C11" s="4" t="s">
        <v>96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113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138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151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155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87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3</v>
      </c>
      <c r="E12" s="15" t="s">
        <v>115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0</v>
      </c>
      <c r="G12" s="15" t="s">
        <v>131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0</v>
      </c>
      <c r="I12" s="15" t="s">
        <v>143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164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3</v>
      </c>
    </row>
    <row r="13" spans="1:13" ht="15.6" x14ac:dyDescent="0.3">
      <c r="A13" s="4">
        <v>10</v>
      </c>
      <c r="B13" s="5" t="s">
        <v>72</v>
      </c>
      <c r="C13" s="4" t="s">
        <v>96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127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0</v>
      </c>
      <c r="G13" s="4" t="s">
        <v>138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147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163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0</v>
      </c>
    </row>
    <row r="14" spans="1:13" ht="15.6" x14ac:dyDescent="0.3">
      <c r="A14" s="15">
        <v>11</v>
      </c>
      <c r="B14" s="16" t="s">
        <v>66</v>
      </c>
      <c r="C14" s="15" t="s">
        <v>96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113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133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0</v>
      </c>
      <c r="I14" s="15" t="s">
        <v>147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163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0</v>
      </c>
    </row>
    <row r="15" spans="1:13" ht="15.6" x14ac:dyDescent="0.3">
      <c r="A15" s="15">
        <v>13</v>
      </c>
      <c r="B15" s="16" t="s">
        <v>81</v>
      </c>
      <c r="C15" s="15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6</v>
      </c>
      <c r="E15" s="15" t="s">
        <v>119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15" t="s">
        <v>130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0</v>
      </c>
      <c r="I15" s="15" t="s">
        <v>146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15" t="s">
        <v>155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6</v>
      </c>
    </row>
    <row r="16" spans="1:13" ht="15.6" x14ac:dyDescent="0.3">
      <c r="A16" s="4">
        <v>14</v>
      </c>
      <c r="B16" s="5" t="s">
        <v>70</v>
      </c>
      <c r="C16" s="4" t="s">
        <v>96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4" t="s">
        <v>127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0</v>
      </c>
      <c r="G16" s="4" t="s">
        <v>138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4" t="s">
        <v>151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4" t="s">
        <v>159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0</v>
      </c>
    </row>
    <row r="17" spans="1:13" ht="15.6" x14ac:dyDescent="0.3">
      <c r="A17" s="15">
        <v>15</v>
      </c>
      <c r="B17" s="16" t="s">
        <v>79</v>
      </c>
      <c r="C17" s="15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3</v>
      </c>
      <c r="E17" s="15" t="s">
        <v>118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15" t="s">
        <v>137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15" t="s">
        <v>149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15" t="s">
        <v>160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3</v>
      </c>
    </row>
    <row r="18" spans="1:13" ht="27.6" x14ac:dyDescent="0.3">
      <c r="A18" s="4">
        <v>16</v>
      </c>
      <c r="B18" s="5" t="s">
        <v>80</v>
      </c>
      <c r="C18" s="4" t="s">
        <v>96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0</v>
      </c>
      <c r="E18" s="4" t="s">
        <v>113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4" t="s">
        <v>131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0</v>
      </c>
      <c r="I18" s="4" t="s">
        <v>151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4" t="s">
        <v>158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0</v>
      </c>
    </row>
    <row r="19" spans="1:13" ht="15.6" x14ac:dyDescent="0.3">
      <c r="A19" s="15">
        <v>17</v>
      </c>
      <c r="B19" s="16" t="s">
        <v>88</v>
      </c>
      <c r="C19" s="15" t="s">
        <v>96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15" t="s">
        <v>113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15" t="s">
        <v>131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0</v>
      </c>
      <c r="I19" s="15" t="s">
        <v>151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15" t="s">
        <v>162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0</v>
      </c>
    </row>
    <row r="20" spans="1:13" ht="15.6" x14ac:dyDescent="0.3">
      <c r="A20" s="4">
        <v>18</v>
      </c>
      <c r="B20" s="16" t="s">
        <v>74</v>
      </c>
      <c r="C20" s="4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3</v>
      </c>
      <c r="E20" s="4" t="s">
        <v>121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0</v>
      </c>
      <c r="G20" s="4" t="s">
        <v>138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4" t="s">
        <v>147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4" t="s">
        <v>166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3</v>
      </c>
    </row>
    <row r="21" spans="1:13" ht="15.6" x14ac:dyDescent="0.3">
      <c r="A21" s="15">
        <v>19</v>
      </c>
      <c r="B21" s="16" t="s">
        <v>75</v>
      </c>
      <c r="C21" s="15" t="s">
        <v>102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15" t="s">
        <v>117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15" t="s">
        <v>130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0</v>
      </c>
      <c r="I21" s="15" t="s">
        <v>145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15" t="s">
        <v>164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0</v>
      </c>
    </row>
    <row r="22" spans="1:13" ht="15.6" x14ac:dyDescent="0.3">
      <c r="A22" s="4">
        <v>20</v>
      </c>
      <c r="B22" s="5" t="s">
        <v>73</v>
      </c>
      <c r="C22" s="4" t="s">
        <v>96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4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4" t="s">
        <v>138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4" t="s">
        <v>151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4" t="s">
        <v>162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0</v>
      </c>
    </row>
    <row r="23" spans="1:13" ht="27.6" x14ac:dyDescent="0.3">
      <c r="A23" s="15">
        <v>21</v>
      </c>
      <c r="B23" s="16" t="s">
        <v>77</v>
      </c>
      <c r="C23" s="15" t="s">
        <v>106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15" t="s">
        <v>126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0</v>
      </c>
      <c r="G23" s="15" t="s">
        <v>135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15" t="s">
        <v>146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15" t="s">
        <v>178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0</v>
      </c>
    </row>
    <row r="24" spans="1:13" ht="15.6" x14ac:dyDescent="0.3">
      <c r="A24" s="4">
        <v>22</v>
      </c>
      <c r="B24" s="5" t="s">
        <v>86</v>
      </c>
      <c r="C24" s="4" t="s">
        <v>96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4" t="s">
        <v>116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4" t="s">
        <v>131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0</v>
      </c>
      <c r="I24" s="4" t="s">
        <v>151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4" t="s">
        <v>164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0</v>
      </c>
    </row>
    <row r="25" spans="1:13" ht="15.6" x14ac:dyDescent="0.3">
      <c r="A25" s="15">
        <v>23</v>
      </c>
      <c r="B25" s="16" t="s">
        <v>85</v>
      </c>
      <c r="C25" s="15" t="s">
        <v>98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10</v>
      </c>
      <c r="E25" s="15" t="s">
        <v>122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15" t="s">
        <v>133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0</v>
      </c>
      <c r="I25" s="15" t="s">
        <v>151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15" t="s">
        <v>180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10</v>
      </c>
    </row>
    <row r="26" spans="1:13" ht="15.6" x14ac:dyDescent="0.3">
      <c r="A26" s="4">
        <v>24</v>
      </c>
      <c r="B26" s="5" t="s">
        <v>89</v>
      </c>
      <c r="C26" s="4" t="s">
        <v>96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4" t="s">
        <v>122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4" t="s">
        <v>134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0</v>
      </c>
      <c r="I26" s="4" t="s">
        <v>146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4" t="s">
        <v>181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0</v>
      </c>
    </row>
    <row r="27" spans="1:13" ht="15.6" x14ac:dyDescent="0.3">
      <c r="A27" s="15">
        <v>25</v>
      </c>
      <c r="B27" s="16" t="s">
        <v>68</v>
      </c>
      <c r="C27" s="15" t="s">
        <v>110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1</v>
      </c>
      <c r="E27" s="15" t="s">
        <v>112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15" t="s">
        <v>138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15" t="s">
        <v>147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15" t="s">
        <v>154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1</v>
      </c>
    </row>
    <row r="28" spans="1:13" ht="15.6" x14ac:dyDescent="0.3">
      <c r="A28" s="4">
        <v>26</v>
      </c>
      <c r="B28" s="5" t="s">
        <v>69</v>
      </c>
      <c r="C28" s="4" t="s">
        <v>96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4" t="s">
        <v>120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0</v>
      </c>
      <c r="G28" s="4" t="s">
        <v>138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4" t="s">
        <v>151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4" t="s">
        <v>178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0</v>
      </c>
    </row>
    <row r="29" spans="1:13" ht="15.6" x14ac:dyDescent="0.3">
      <c r="A29" s="15">
        <v>27</v>
      </c>
      <c r="B29" s="16"/>
      <c r="C29" s="15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5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5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15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15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4">
        <v>28</v>
      </c>
      <c r="B30" s="5"/>
      <c r="C30" s="4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4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4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4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4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15">
        <v>29</v>
      </c>
      <c r="B31" s="16"/>
      <c r="C31" s="15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5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5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5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5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4">
        <v>30</v>
      </c>
      <c r="B32" s="5"/>
      <c r="C32" s="4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4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4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4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4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B4:B32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C4:C32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E4:E32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G4:G32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I4:I32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Scores'!$B$4:$B$32,MATCH(LARGE('Picks &amp; Scores'!$M$4:$M$32,1),'Picks &amp; Scores'!$M$4:$M$32,0)),"")</f>
        <v>Liam Bridgeman</v>
      </c>
      <c r="C3" s="21">
        <f>IFERROR(LARGE('Picks &amp; Scores'!$M$4:$M$32,1),"")</f>
        <v>10</v>
      </c>
      <c r="D3" s="22">
        <f ca="1">IFERROR(COUNTIF(OFFSET('Picks &amp; Scores'!$D$4:$L$32,MATCH(C3,'Picks &amp; Scores'!$M$4:$M$32,0)-1,0,1,11),10),"")</f>
        <v>2</v>
      </c>
    </row>
    <row r="4" spans="1:4" ht="18" x14ac:dyDescent="0.3">
      <c r="A4" s="19">
        <v>2</v>
      </c>
      <c r="B4" s="20" t="str">
        <f>IFERROR(INDEX('Picks &amp; Scores'!$B$4:$B$32,MATCH(LARGE('Picks &amp; Scores'!$M$4:$M$32,2),'Picks &amp; Scores'!$M$4:$M$32,0)),"")</f>
        <v>Steve Burfitt</v>
      </c>
      <c r="C4" s="21">
        <f>IFERROR(LARGE('Picks &amp; Scores'!$M$4:$M$32,2),"")</f>
        <v>6</v>
      </c>
      <c r="D4" s="22">
        <f ca="1">IFERROR(COUNTIF(OFFSET('Picks &amp; Scores'!$D$4:$L$32,MATCH(C4,'Picks &amp; Scores'!$M$4:$M$32,0)-1,0,1,11),10),"")</f>
        <v>0</v>
      </c>
    </row>
    <row r="5" spans="1:4" ht="18" x14ac:dyDescent="0.3">
      <c r="A5" s="19">
        <v>3</v>
      </c>
      <c r="B5" s="20" t="str">
        <f>IFERROR(INDEX('Picks &amp; Scores'!$B$4:$B$32,MATCH(LARGE('Picks &amp; Scores'!$M$4:$M$32,3),'Picks &amp; Scores'!$M$4:$M$32,0)),"")</f>
        <v>Steve Burfitt</v>
      </c>
      <c r="C5" s="21">
        <f>IFERROR(LARGE('Picks &amp; Scores'!$M$4:$M$32,3),"")</f>
        <v>6</v>
      </c>
      <c r="D5" s="22">
        <f ca="1">IFERROR(COUNTIF(OFFSET('Picks &amp; Scores'!$D$4:$L$32,MATCH(C5,'Picks &amp; Scores'!$M$4:$M$32,0)-1,0,1,11),10),"")</f>
        <v>0</v>
      </c>
    </row>
    <row r="6" spans="1:4" ht="18" x14ac:dyDescent="0.3">
      <c r="A6" s="23">
        <v>4</v>
      </c>
      <c r="B6" s="24" t="str">
        <f>IFERROR(INDEX('Picks &amp; Scores'!$B$4:$B$32,MATCH(LARGE('Picks &amp; Scores'!$M$4:$M$32,4),'Picks &amp; Scores'!$M$4:$M$32,0)),"")</f>
        <v>Marianne Chardon</v>
      </c>
      <c r="C6" s="25">
        <f>IFERROR(LARGE('Picks &amp; Scores'!$M$4:$M$32,4),"")</f>
        <v>4</v>
      </c>
      <c r="D6" s="26">
        <f ca="1">IFERROR(COUNTIF(OFFSET('Picks &amp; Scores'!$D$4:$L$32,MATCH(C6,'Picks &amp; Scores'!$M$4:$M$32,0)-1,0,1,11),10),"")</f>
        <v>0</v>
      </c>
    </row>
    <row r="7" spans="1:4" ht="18" x14ac:dyDescent="0.3">
      <c r="A7" s="27">
        <v>5</v>
      </c>
      <c r="B7" s="28" t="str">
        <f>IFERROR(INDEX('Picks &amp; Scores'!$B$4:$B$32,MATCH(LARGE('Picks &amp; Scores'!$M$4:$M$32,5),'Picks &amp; Scores'!$M$4:$M$32,0)),"")</f>
        <v>Jack Webb</v>
      </c>
      <c r="C7" s="29">
        <f>IFERROR(LARGE('Picks &amp; Scores'!$M$4:$M$32,5),"")</f>
        <v>3</v>
      </c>
      <c r="D7" s="30">
        <f ca="1">IFERROR(COUNTIF(OFFSET('Picks &amp; Scores'!$D$4:$L$32,MATCH(C7,'Picks &amp; Scores'!$M$4:$M$32,0)-1,0,1,11),10),"")</f>
        <v>0</v>
      </c>
    </row>
    <row r="8" spans="1:4" ht="18" x14ac:dyDescent="0.3">
      <c r="A8" s="23">
        <v>6</v>
      </c>
      <c r="B8" s="24" t="str">
        <f>IFERROR(INDEX('Picks &amp; Scores'!$B$4:$B$32,MATCH(LARGE('Picks &amp; Scores'!$M$4:$M$32,6),'Picks &amp; Scores'!$M$4:$M$32,0)),"")</f>
        <v>Jack Webb</v>
      </c>
      <c r="C8" s="25">
        <f>IFERROR(LARGE('Picks &amp; Scores'!$M$4:$M$32,6),"")</f>
        <v>3</v>
      </c>
      <c r="D8" s="26">
        <f ca="1">IFERROR(COUNTIF(OFFSET('Picks &amp; Scores'!$D$4:$L$32,MATCH(C8,'Picks &amp; Scores'!$M$4:$M$32,0)-1,0,1,11),10),"")</f>
        <v>0</v>
      </c>
    </row>
    <row r="9" spans="1:4" ht="18" x14ac:dyDescent="0.3">
      <c r="A9" s="27">
        <v>7</v>
      </c>
      <c r="B9" s="28" t="str">
        <f>IFERROR(INDEX('Picks &amp; Scores'!$B$4:$B$32,MATCH(LARGE('Picks &amp; Scores'!$M$4:$M$32,7),'Picks &amp; Scores'!$M$4:$M$32,0)),"")</f>
        <v>Jack Webb</v>
      </c>
      <c r="C9" s="29">
        <f>IFERROR(LARGE('Picks &amp; Scores'!$M$4:$M$32,7),"")</f>
        <v>3</v>
      </c>
      <c r="D9" s="30">
        <f ca="1">IFERROR(COUNTIF(OFFSET('Picks &amp; Scores'!$D$4:$L$32,MATCH(C9,'Picks &amp; Scores'!$M$4:$M$32,0)-1,0,1,11),10),"")</f>
        <v>0</v>
      </c>
    </row>
    <row r="10" spans="1:4" ht="18" x14ac:dyDescent="0.3">
      <c r="A10" s="23">
        <v>8</v>
      </c>
      <c r="B10" s="24" t="str">
        <f>IFERROR(INDEX('Picks &amp; Scores'!$B$4:$B$32,MATCH(LARGE('Picks &amp; Scores'!$M$4:$M$32,8),'Picks &amp; Scores'!$M$4:$M$32,0)),"")</f>
        <v>Gemma Forsyth</v>
      </c>
      <c r="C10" s="25">
        <f>IFERROR(LARGE('Picks &amp; Scores'!$M$4:$M$32,8),"")</f>
        <v>2</v>
      </c>
      <c r="D10" s="26">
        <f ca="1">IFERROR(COUNTIF(OFFSET('Picks &amp; Scores'!$D$4:$L$32,MATCH(C10,'Picks &amp; Scores'!$M$4:$M$32,0)-1,0,1,11),10),"")</f>
        <v>0</v>
      </c>
    </row>
    <row r="11" spans="1:4" ht="18" x14ac:dyDescent="0.3">
      <c r="A11" s="27">
        <v>9</v>
      </c>
      <c r="B11" s="28" t="str">
        <f>IFERROR(INDEX('Picks &amp; Scores'!$B$4:$B$32,MATCH(LARGE('Picks &amp; Scores'!$M$4:$M$32,9),'Picks &amp; Scores'!$M$4:$M$32,0)),"")</f>
        <v>Denise White</v>
      </c>
      <c r="C11" s="29">
        <f>IFERROR(LARGE('Picks &amp; Scores'!$M$4:$M$32,9),"")</f>
        <v>1</v>
      </c>
      <c r="D11" s="30">
        <f ca="1">IFERROR(COUNTIF(OFFSET('Picks &amp; Scores'!$D$4:$L$32,MATCH(C11,'Picks &amp; Scores'!$M$4:$M$32,0)-1,0,1,11),10),"")</f>
        <v>0</v>
      </c>
    </row>
    <row r="12" spans="1:4" ht="18" x14ac:dyDescent="0.3">
      <c r="A12" s="23">
        <v>10</v>
      </c>
      <c r="B12" s="24" t="str">
        <f>IFERROR(INDEX('Picks &amp; Scores'!$B$4:$B$32,MATCH(LARGE('Picks &amp; Scores'!$M$4:$M$32,10),'Picks &amp; Scores'!$M$4:$M$32,0)),"")</f>
        <v>Liz Bugler</v>
      </c>
      <c r="C12" s="25">
        <f>IFERROR(LARGE('Picks &amp; Scores'!$M$4:$M$32,10),"")</f>
        <v>0</v>
      </c>
      <c r="D12" s="26">
        <f ca="1">IFERROR(COUNTIF(OFFSET('Picks &amp; Scores'!$D$4:$L$32,MATCH(C12,'Picks &amp; Scores'!$M$4:$M$32,0)-1,0,1,11),10),"")</f>
        <v>0</v>
      </c>
    </row>
    <row r="13" spans="1:4" ht="18" x14ac:dyDescent="0.3">
      <c r="A13" s="27">
        <v>11</v>
      </c>
      <c r="B13" s="28" t="str">
        <f>IFERROR(INDEX('Picks &amp; Scores'!$B$4:$B$32,MATCH(LARGE('Picks &amp; Scores'!$M$4:$M$32,11),'Picks &amp; Scores'!$M$4:$M$32,0)),"")</f>
        <v>Liz Bugler</v>
      </c>
      <c r="C13" s="29">
        <f>IFERROR(LARGE('Picks &amp; Scores'!$M$4:$M$32,11),"")</f>
        <v>0</v>
      </c>
      <c r="D13" s="30">
        <f ca="1">IFERROR(COUNTIF(OFFSET('Picks &amp; Scores'!$D$4:$L$32,MATCH(C13,'Picks &amp; Scores'!$M$4:$M$32,0)-1,0,1,11),10),"")</f>
        <v>0</v>
      </c>
    </row>
    <row r="14" spans="1:4" ht="18" x14ac:dyDescent="0.3">
      <c r="A14" s="23">
        <v>12</v>
      </c>
      <c r="B14" s="24" t="str">
        <f>IFERROR(INDEX('Picks &amp; Scores'!$B$4:$B$32,MATCH(LARGE('Picks &amp; Scores'!$M$4:$M$32,12),'Picks &amp; Scores'!$M$4:$M$32,0)),"")</f>
        <v>Liz Bugler</v>
      </c>
      <c r="C14" s="25">
        <f>IFERROR(LARGE('Picks &amp; Scores'!$M$4:$M$32,12),"")</f>
        <v>0</v>
      </c>
      <c r="D14" s="26">
        <f ca="1">IFERROR(COUNTIF(OFFSET('Picks &amp; Scores'!$D$4:$L$32,MATCH(C14,'Picks &amp; Scores'!$M$4:$M$32,0)-1,0,1,11),10),"")</f>
        <v>0</v>
      </c>
    </row>
    <row r="15" spans="1:4" ht="18" x14ac:dyDescent="0.3">
      <c r="A15" s="27">
        <v>13</v>
      </c>
      <c r="B15" s="28" t="str">
        <f>IFERROR(INDEX('Picks &amp; Scores'!$B$4:$B$32,MATCH(LARGE('Picks &amp; Scores'!$M$4:$M$32,13),'Picks &amp; Scores'!$M$4:$M$32,0)),"")</f>
        <v>Liz Bugler</v>
      </c>
      <c r="C15" s="29">
        <f>IFERROR(LARGE('Picks &amp; Scores'!$M$4:$M$32,13),"")</f>
        <v>0</v>
      </c>
      <c r="D15" s="30">
        <f ca="1">IFERROR(COUNTIF(OFFSET('Picks &amp; Scores'!$D$4:$L$32,MATCH(C15,'Picks &amp; Scores'!$M$4:$M$32,0)-1,0,1,11),10),"")</f>
        <v>0</v>
      </c>
    </row>
    <row r="16" spans="1:4" ht="18" x14ac:dyDescent="0.3">
      <c r="A16" s="23">
        <v>14</v>
      </c>
      <c r="B16" s="24" t="str">
        <f>IFERROR(INDEX('Picks &amp; Scores'!$B$4:$B$32,MATCH(LARGE('Picks &amp; Scores'!$M$4:$M$32,14),'Picks &amp; Scores'!$M$4:$M$32,0)),"")</f>
        <v>Liz Bugler</v>
      </c>
      <c r="C16" s="25">
        <f>IFERROR(LARGE('Picks &amp; Scores'!$M$4:$M$32,14),"")</f>
        <v>0</v>
      </c>
      <c r="D16" s="26">
        <f ca="1">IFERROR(COUNTIF(OFFSET('Picks &amp; Scores'!$D$4:$L$32,MATCH(C16,'Picks &amp; Scores'!$M$4:$M$32,0)-1,0,1,11),10),"")</f>
        <v>0</v>
      </c>
    </row>
    <row r="17" spans="1:4" ht="18" x14ac:dyDescent="0.3">
      <c r="A17" s="27">
        <v>15</v>
      </c>
      <c r="B17" s="28" t="str">
        <f>IFERROR(INDEX('Picks &amp; Scores'!$B$4:$B$32,MATCH(LARGE('Picks &amp; Scores'!$M$4:$M$32,15),'Picks &amp; Scores'!$M$4:$M$32,0)),"")</f>
        <v>Liz Bugler</v>
      </c>
      <c r="C17" s="29">
        <f>IFERROR(LARGE('Picks &amp; Scores'!$M$4:$M$32,15),"")</f>
        <v>0</v>
      </c>
      <c r="D17" s="30">
        <f ca="1">IFERROR(COUNTIF(OFFSET('Picks &amp; Scores'!$D$4:$L$32,MATCH(C17,'Picks &amp; Scores'!$M$4:$M$32,0)-1,0,1,11),10),"")</f>
        <v>0</v>
      </c>
    </row>
    <row r="18" spans="1:4" ht="18" x14ac:dyDescent="0.3">
      <c r="A18" s="23">
        <v>16</v>
      </c>
      <c r="B18" s="24" t="str">
        <f>IFERROR(INDEX('Picks &amp; Scores'!$B$4:$B$32,MATCH(LARGE('Picks &amp; Scores'!$M$4:$M$32,16),'Picks &amp; Scores'!$M$4:$M$32,0)),"")</f>
        <v>Liz Bugler</v>
      </c>
      <c r="C18" s="25">
        <f>IFERROR(LARGE('Picks &amp; Scores'!$M$4:$M$32,16),"")</f>
        <v>0</v>
      </c>
      <c r="D18" s="26">
        <f ca="1">IFERROR(COUNTIF(OFFSET('Picks &amp; Scores'!$D$4:$L$32,MATCH(C18,'Picks &amp; Scores'!$M$4:$M$32,0)-1,0,1,11),10),"")</f>
        <v>0</v>
      </c>
    </row>
    <row r="19" spans="1:4" ht="18" x14ac:dyDescent="0.3">
      <c r="A19" s="27">
        <v>17</v>
      </c>
      <c r="B19" s="28" t="str">
        <f>IFERROR(INDEX('Picks &amp; Scores'!$B$4:$B$32,MATCH(LARGE('Picks &amp; Scores'!$M$4:$M$32,17),'Picks &amp; Scores'!$M$4:$M$32,0)),"")</f>
        <v>Liz Bugler</v>
      </c>
      <c r="C19" s="29">
        <f>IFERROR(LARGE('Picks &amp; Scores'!$M$4:$M$32,17),"")</f>
        <v>0</v>
      </c>
      <c r="D19" s="30">
        <f ca="1">IFERROR(COUNTIF(OFFSET('Picks &amp; Scores'!$D$4:$L$32,MATCH(C19,'Picks &amp; Scores'!$M$4:$M$32,0)-1,0,1,11),10),"")</f>
        <v>0</v>
      </c>
    </row>
    <row r="20" spans="1:4" ht="18" x14ac:dyDescent="0.3">
      <c r="A20" s="23">
        <v>18</v>
      </c>
      <c r="B20" s="24" t="str">
        <f>IFERROR(INDEX('Picks &amp; Scores'!$B$4:$B$32,MATCH(LARGE('Picks &amp; Scores'!$M$4:$M$32,18),'Picks &amp; Scores'!$M$4:$M$32,0)),"")</f>
        <v>Liz Bugler</v>
      </c>
      <c r="C20" s="25">
        <f>IFERROR(LARGE('Picks &amp; Scores'!$M$4:$M$32,18),"")</f>
        <v>0</v>
      </c>
      <c r="D20" s="26">
        <f ca="1">IFERROR(COUNTIF(OFFSET('Picks &amp; Scores'!$D$4:$L$32,MATCH(C20,'Picks &amp; Scores'!$M$4:$M$32,0)-1,0,1,11),10),"")</f>
        <v>0</v>
      </c>
    </row>
    <row r="21" spans="1:4" ht="18" x14ac:dyDescent="0.3">
      <c r="A21" s="27">
        <v>19</v>
      </c>
      <c r="B21" s="28" t="str">
        <f>IFERROR(INDEX('Picks &amp; Scores'!$B$4:$B$32,MATCH(LARGE('Picks &amp; Scores'!$M$4:$M$32,19),'Picks &amp; Scores'!$M$4:$M$32,0)),"")</f>
        <v>Liz Bugler</v>
      </c>
      <c r="C21" s="29">
        <f>IFERROR(LARGE('Picks &amp; Scores'!$M$4:$M$32,19),"")</f>
        <v>0</v>
      </c>
      <c r="D21" s="30">
        <f ca="1">IFERROR(COUNTIF(OFFSET('Picks &amp; Scores'!$D$4:$L$32,MATCH(C21,'Picks &amp; Scores'!$M$4:$M$32,0)-1,0,1,11),10),"")</f>
        <v>0</v>
      </c>
    </row>
    <row r="22" spans="1:4" ht="18" x14ac:dyDescent="0.3">
      <c r="A22" s="23">
        <v>20</v>
      </c>
      <c r="B22" s="24" t="str">
        <f>IFERROR(INDEX('Picks &amp; Scores'!$B$4:$B$32,MATCH(LARGE('Picks &amp; Scores'!$M$4:$M$32,20),'Picks &amp; Scores'!$M$4:$M$32,0)),"")</f>
        <v>Liz Bugler</v>
      </c>
      <c r="C22" s="25">
        <f>IFERROR(LARGE('Picks &amp; Scores'!$M$4:$M$32,20),"")</f>
        <v>0</v>
      </c>
      <c r="D22" s="26">
        <f ca="1">IFERROR(COUNTIF(OFFSET('Picks &amp; Scores'!$D$4:$L$32,MATCH(C22,'Picks &amp; Scores'!$M$4:$M$32,0)-1,0,1,11),10),"")</f>
        <v>0</v>
      </c>
    </row>
    <row r="23" spans="1:4" ht="18" x14ac:dyDescent="0.3">
      <c r="A23" s="27">
        <v>21</v>
      </c>
      <c r="B23" s="28" t="str">
        <f>IFERROR(INDEX('Picks &amp; Scores'!$B$4:$B$32,MATCH(LARGE('Picks &amp; Scores'!$M$4:$M$32,21),'Picks &amp; Scores'!$M$4:$M$32,0)),"")</f>
        <v>Liz Bugler</v>
      </c>
      <c r="C23" s="29">
        <f>IFERROR(LARGE('Picks &amp; Scores'!$M$4:$M$32,21),"")</f>
        <v>0</v>
      </c>
      <c r="D23" s="30">
        <f ca="1">IFERROR(COUNTIF(OFFSET('Picks &amp; Scores'!$D$4:$L$32,MATCH(C23,'Picks &amp; Scores'!$M$4:$M$32,0)-1,0,1,11),10),"")</f>
        <v>0</v>
      </c>
    </row>
    <row r="24" spans="1:4" ht="18" x14ac:dyDescent="0.3">
      <c r="A24" s="23">
        <v>22</v>
      </c>
      <c r="B24" s="24" t="str">
        <f>IFERROR(INDEX('Picks &amp; Scores'!$B$4:$B$32,MATCH(LARGE('Picks &amp; Scores'!$M$4:$M$32,22),'Picks &amp; Scores'!$M$4:$M$32,0)),"")</f>
        <v>Liz Bugler</v>
      </c>
      <c r="C24" s="25">
        <f>IFERROR(LARGE('Picks &amp; Scores'!$M$4:$M$32,22),"")</f>
        <v>0</v>
      </c>
      <c r="D24" s="26">
        <f ca="1">IFERROR(COUNTIF(OFFSET('Picks &amp; Scores'!$D$4:$L$32,MATCH(C24,'Picks &amp; Scores'!$M$4:$M$32,0)-1,0,1,11),10),"")</f>
        <v>0</v>
      </c>
    </row>
    <row r="25" spans="1:4" ht="18" x14ac:dyDescent="0.3">
      <c r="A25" s="27">
        <v>23</v>
      </c>
      <c r="B25" s="28" t="str">
        <f>IFERROR(INDEX('Picks &amp; Scores'!$B$4:$B$32,MATCH(LARGE('Picks &amp; Scores'!$M$4:$M$32,23),'Picks &amp; Scores'!$M$4:$M$32,0)),"")</f>
        <v>Liz Bugler</v>
      </c>
      <c r="C25" s="29">
        <f>IFERROR(LARGE('Picks &amp; Scores'!$M$4:$M$32,23),"")</f>
        <v>0</v>
      </c>
      <c r="D25" s="30">
        <f ca="1">IFERROR(COUNTIF(OFFSET('Picks &amp; Scores'!$D$4:$L$32,MATCH(C25,'Picks &amp; Scores'!$M$4:$M$32,0)-1,0,1,11),10),"")</f>
        <v>0</v>
      </c>
    </row>
    <row r="26" spans="1:4" ht="18" x14ac:dyDescent="0.3">
      <c r="A26" s="23">
        <v>24</v>
      </c>
      <c r="B26" s="24" t="str">
        <f>IFERROR(INDEX('Picks &amp; Scores'!$B$4:$B$32,MATCH(LARGE('Picks &amp; Scores'!$M$4:$M$32,24),'Picks &amp; Scores'!$M$4:$M$32,0)),"")</f>
        <v>Liz Bugler</v>
      </c>
      <c r="C26" s="25">
        <f>IFERROR(LARGE('Picks &amp; Scores'!$M$4:$M$32,24),"")</f>
        <v>0</v>
      </c>
      <c r="D26" s="26">
        <f ca="1">IFERROR(COUNTIF(OFFSET('Picks &amp; Scores'!$D$4:$L$32,MATCH(C26,'Picks &amp; Scores'!$M$4:$M$32,0)-1,0,1,11),10),"")</f>
        <v>0</v>
      </c>
    </row>
    <row r="27" spans="1:4" ht="18" x14ac:dyDescent="0.3">
      <c r="A27" s="27">
        <v>25</v>
      </c>
      <c r="B27" s="28" t="str">
        <f>IFERROR(INDEX('Picks &amp; Scores'!$B$4:$B$32,MATCH(LARGE('Picks &amp; Scores'!$M$4:$M$32,25),'Picks &amp; Scores'!$M$4:$M$32,0)),"")</f>
        <v>Liz Bugler</v>
      </c>
      <c r="C27" s="29">
        <f>IFERROR(LARGE('Picks &amp; Scores'!$M$4:$M$32,25),"")</f>
        <v>0</v>
      </c>
      <c r="D27" s="30">
        <f ca="1">IFERROR(COUNTIF(OFFSET('Picks &amp; Scores'!$D$4:$L$32,MATCH(C27,'Picks &amp; Scores'!$M$4:$M$32,0)-1,0,1,11),10),"")</f>
        <v>0</v>
      </c>
    </row>
    <row r="28" spans="1:4" ht="18" x14ac:dyDescent="0.3">
      <c r="A28" s="23">
        <v>26</v>
      </c>
      <c r="B28" s="24" t="str">
        <f>IFERROR(INDEX('Picks &amp; Scores'!$B$4:$B$32,MATCH(LARGE('Picks &amp; Scores'!$M$4:$M$32,26),'Picks &amp; Scores'!$M$4:$M$32,0)),"")</f>
        <v>Liz Bugler</v>
      </c>
      <c r="C28" s="25">
        <f>IFERROR(LARGE('Picks &amp; Scores'!$M$4:$M$32,26),"")</f>
        <v>0</v>
      </c>
      <c r="D28" s="26">
        <f ca="1">IFERROR(COUNTIF(OFFSET('Picks &amp; Scores'!$D$4:$L$32,MATCH(C28,'Picks &amp; Scores'!$M$4:$M$32,0)-1,0,1,11),10),"")</f>
        <v>0</v>
      </c>
    </row>
    <row r="29" spans="1:4" ht="18" x14ac:dyDescent="0.3">
      <c r="A29" s="27">
        <v>27</v>
      </c>
      <c r="B29" s="28" t="str">
        <f>IFERROR(INDEX('Picks &amp; Scores'!$B$4:$B$32,MATCH(LARGE('Picks &amp; Scores'!$M$4:$M$32,27),'Picks &amp; Scores'!$M$4:$M$32,0)),"")</f>
        <v>Liz Bugler</v>
      </c>
      <c r="C29" s="29">
        <f>IFERROR(LARGE('Picks &amp; Scores'!$M$4:$M$32,27),"")</f>
        <v>0</v>
      </c>
      <c r="D29" s="30">
        <f ca="1">IFERROR(COUNTIF(OFFSET('Picks &amp; Scores'!$D$4:$L$32,MATCH(C29,'Picks &amp; Scores'!$M$4:$M$32,0)-1,0,1,11),10),"")</f>
        <v>0</v>
      </c>
    </row>
    <row r="30" spans="1:4" ht="18" x14ac:dyDescent="0.3">
      <c r="A30" s="23">
        <v>28</v>
      </c>
      <c r="B30" s="24" t="str">
        <f>IFERROR(INDEX('Picks &amp; Scores'!$B$4:$B$32,MATCH(LARGE('Picks &amp; Scores'!$M$4:$M$32,28),'Picks &amp; Scores'!$M$4:$M$32,0)),"")</f>
        <v>Liz Bugler</v>
      </c>
      <c r="C30" s="25">
        <f>IFERROR(LARGE('Picks &amp; Scores'!$M$4:$M$32,28),"")</f>
        <v>0</v>
      </c>
      <c r="D30" s="26">
        <f ca="1">IFERROR(COUNTIF(OFFSET('Picks &amp; Scores'!$D$4:$L$32,MATCH(C30,'Picks &amp; Scores'!$M$4:$M$32,0)-1,0,1,11),10),"")</f>
        <v>0</v>
      </c>
    </row>
    <row r="31" spans="1:4" ht="18" x14ac:dyDescent="0.3">
      <c r="A31" s="27">
        <v>29</v>
      </c>
      <c r="B31" s="28" t="str">
        <f>IFERROR(INDEX('Picks &amp; Scores'!$B$4:$B$32,MATCH(LARGE('Picks &amp; Scores'!$M$4:$M$32,29),'Picks &amp; Scores'!$M$4:$M$32,0)),"")</f>
        <v>Liz Bugler</v>
      </c>
      <c r="C31" s="29">
        <f>IFERROR(LARGE('Picks &amp; Scores'!$M$4:$M$32,29),"")</f>
        <v>0</v>
      </c>
      <c r="D31" s="30">
        <f ca="1">IFERROR(COUNTIF(OFFSET('Picks &amp; Scores'!$D$4:$L$32,MATCH(C31,'Picks &amp; Scores'!$M$4:$M$32,0)-1,0,1,11),10),"")</f>
        <v>0</v>
      </c>
    </row>
    <row r="32" spans="1:4" ht="18" x14ac:dyDescent="0.3">
      <c r="A32" s="23">
        <v>30</v>
      </c>
      <c r="B32" s="24" t="str">
        <f>IFERROR(INDEX('Picks &amp; Scores'!$B$4:$B$32,MATCH(LARGE('Picks &amp; Scores'!$M$4:$M$32,30),'Picks &amp; Scores'!$M$4:$M$32,0)),"")</f>
        <v/>
      </c>
      <c r="C32" s="25" t="str">
        <f>IFERROR(LARGE('Picks &amp; Scores'!$M$4:$M$32,30),"")</f>
        <v/>
      </c>
      <c r="D32" s="26" t="str">
        <f ca="1">IFERROR(COUNTIF(OFFSET('Picks &amp; Scores'!$D$4:$L$32,MATCH(C32,'Picks &amp; Scores'!$M$4:$M$32,0)-1,0,1,11),10),"")</f>
        <v/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2026-06-18T13:46:48Z</dcterms:modified>
  <dc:language>en-US</dc:language>
</cp:coreProperties>
</file>