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0" documentId="8_{4AAA6C34-47BD-4C62-871F-E51000285BE0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3" i="4" l="1"/>
  <c r="L33" i="4"/>
  <c r="J33" i="4"/>
  <c r="H33" i="4"/>
  <c r="F33" i="4"/>
  <c r="D33" i="4"/>
  <c r="O33" i="4" s="1"/>
  <c r="N32" i="4"/>
  <c r="L32" i="4"/>
  <c r="J32" i="4"/>
  <c r="H32" i="4"/>
  <c r="F32" i="4"/>
  <c r="D32" i="4"/>
  <c r="O32" i="4" s="1"/>
  <c r="N31" i="4"/>
  <c r="L31" i="4"/>
  <c r="J31" i="4"/>
  <c r="H31" i="4"/>
  <c r="F31" i="4"/>
  <c r="D31" i="4"/>
  <c r="O31" i="4" s="1"/>
  <c r="O30" i="4"/>
  <c r="N30" i="4"/>
  <c r="L30" i="4"/>
  <c r="J30" i="4"/>
  <c r="H30" i="4"/>
  <c r="F30" i="4"/>
  <c r="D30" i="4"/>
  <c r="N29" i="4"/>
  <c r="L29" i="4"/>
  <c r="J29" i="4"/>
  <c r="H29" i="4"/>
  <c r="F29" i="4"/>
  <c r="D29" i="4"/>
  <c r="O29" i="4" s="1"/>
  <c r="O28" i="4"/>
  <c r="N28" i="4"/>
  <c r="L28" i="4"/>
  <c r="J28" i="4"/>
  <c r="H28" i="4"/>
  <c r="F28" i="4"/>
  <c r="D28" i="4"/>
  <c r="N27" i="4"/>
  <c r="L27" i="4"/>
  <c r="J27" i="4"/>
  <c r="H27" i="4"/>
  <c r="F27" i="4"/>
  <c r="D27" i="4"/>
  <c r="O27" i="4" s="1"/>
  <c r="N26" i="4"/>
  <c r="L26" i="4"/>
  <c r="J26" i="4"/>
  <c r="H26" i="4"/>
  <c r="F26" i="4"/>
  <c r="D26" i="4"/>
  <c r="O26" i="4" s="1"/>
  <c r="N25" i="4"/>
  <c r="L25" i="4"/>
  <c r="J25" i="4"/>
  <c r="H25" i="4"/>
  <c r="F25" i="4"/>
  <c r="D25" i="4"/>
  <c r="O25" i="4" s="1"/>
  <c r="N24" i="4"/>
  <c r="L24" i="4"/>
  <c r="J24" i="4"/>
  <c r="H24" i="4"/>
  <c r="F24" i="4"/>
  <c r="D24" i="4"/>
  <c r="O24" i="4" s="1"/>
  <c r="N23" i="4"/>
  <c r="L23" i="4"/>
  <c r="J23" i="4"/>
  <c r="H23" i="4"/>
  <c r="F23" i="4"/>
  <c r="D23" i="4"/>
  <c r="O23" i="4" s="1"/>
  <c r="N22" i="4"/>
  <c r="L22" i="4"/>
  <c r="J22" i="4"/>
  <c r="H22" i="4"/>
  <c r="F22" i="4"/>
  <c r="D22" i="4"/>
  <c r="O22" i="4" s="1"/>
  <c r="N21" i="4"/>
  <c r="L21" i="4"/>
  <c r="J21" i="4"/>
  <c r="H21" i="4"/>
  <c r="F21" i="4"/>
  <c r="D21" i="4"/>
  <c r="O21" i="4" s="1"/>
  <c r="N20" i="4"/>
  <c r="L20" i="4"/>
  <c r="J20" i="4"/>
  <c r="H20" i="4"/>
  <c r="F20" i="4"/>
  <c r="D20" i="4"/>
  <c r="O20" i="4" s="1"/>
  <c r="N19" i="4"/>
  <c r="L19" i="4"/>
  <c r="J19" i="4"/>
  <c r="H19" i="4"/>
  <c r="F19" i="4"/>
  <c r="D19" i="4"/>
  <c r="O19" i="4" s="1"/>
  <c r="N18" i="4"/>
  <c r="L18" i="4"/>
  <c r="J18" i="4"/>
  <c r="H18" i="4"/>
  <c r="F18" i="4"/>
  <c r="D18" i="4"/>
  <c r="O18" i="4" s="1"/>
  <c r="N17" i="4"/>
  <c r="L17" i="4"/>
  <c r="J17" i="4"/>
  <c r="H17" i="4"/>
  <c r="F17" i="4"/>
  <c r="D17" i="4"/>
  <c r="O17" i="4" s="1"/>
  <c r="N16" i="4"/>
  <c r="L16" i="4"/>
  <c r="J16" i="4"/>
  <c r="H16" i="4"/>
  <c r="F16" i="4"/>
  <c r="D16" i="4"/>
  <c r="O16" i="4" s="1"/>
  <c r="N15" i="4"/>
  <c r="L15" i="4"/>
  <c r="J15" i="4"/>
  <c r="H15" i="4"/>
  <c r="F15" i="4"/>
  <c r="D15" i="4"/>
  <c r="O15" i="4" s="1"/>
  <c r="N14" i="4"/>
  <c r="L14" i="4"/>
  <c r="J14" i="4"/>
  <c r="H14" i="4"/>
  <c r="F14" i="4"/>
  <c r="D14" i="4"/>
  <c r="O14" i="4" s="1"/>
  <c r="N13" i="4"/>
  <c r="L13" i="4"/>
  <c r="J13" i="4"/>
  <c r="O13" i="4" s="1"/>
  <c r="H13" i="4"/>
  <c r="F13" i="4"/>
  <c r="D13" i="4"/>
  <c r="N12" i="4"/>
  <c r="L12" i="4"/>
  <c r="J12" i="4"/>
  <c r="H12" i="4"/>
  <c r="F12" i="4"/>
  <c r="D12" i="4"/>
  <c r="O12" i="4" s="1"/>
  <c r="N11" i="4"/>
  <c r="L11" i="4"/>
  <c r="J11" i="4"/>
  <c r="H11" i="4"/>
  <c r="F11" i="4"/>
  <c r="D11" i="4"/>
  <c r="O11" i="4" s="1"/>
  <c r="N10" i="4"/>
  <c r="L10" i="4"/>
  <c r="J10" i="4"/>
  <c r="H10" i="4"/>
  <c r="F10" i="4"/>
  <c r="D10" i="4"/>
  <c r="O10" i="4" s="1"/>
  <c r="N9" i="4"/>
  <c r="L9" i="4"/>
  <c r="J9" i="4"/>
  <c r="H9" i="4"/>
  <c r="F9" i="4"/>
  <c r="D9" i="4"/>
  <c r="O9" i="4" s="1"/>
  <c r="N8" i="4"/>
  <c r="L8" i="4"/>
  <c r="J8" i="4"/>
  <c r="H8" i="4"/>
  <c r="F8" i="4"/>
  <c r="D8" i="4"/>
  <c r="O8" i="4" s="1"/>
  <c r="N7" i="4"/>
  <c r="L7" i="4"/>
  <c r="J7" i="4"/>
  <c r="H7" i="4"/>
  <c r="F7" i="4"/>
  <c r="D7" i="4"/>
  <c r="O7" i="4" s="1"/>
  <c r="N6" i="4"/>
  <c r="L6" i="4"/>
  <c r="J6" i="4"/>
  <c r="H6" i="4"/>
  <c r="F6" i="4"/>
  <c r="D6" i="4"/>
  <c r="O6" i="4" s="1"/>
  <c r="N5" i="4"/>
  <c r="L5" i="4"/>
  <c r="J5" i="4"/>
  <c r="H5" i="4"/>
  <c r="F5" i="4"/>
  <c r="D5" i="4"/>
  <c r="O5" i="4" s="1"/>
  <c r="N4" i="4"/>
  <c r="L4" i="4"/>
  <c r="J4" i="4"/>
  <c r="H4" i="4"/>
  <c r="F4" i="4"/>
  <c r="D4" i="4"/>
  <c r="O4" i="4" s="1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5" i="5"/>
  <c r="C5" i="5"/>
  <c r="D5" i="5" s="1"/>
  <c r="B14" i="5"/>
  <c r="C14" i="5"/>
  <c r="D14" i="5" s="1"/>
  <c r="C15" i="5"/>
  <c r="D15" i="5" s="1"/>
  <c r="C16" i="5"/>
  <c r="D16" i="5" s="1"/>
  <c r="B17" i="5"/>
  <c r="C17" i="5"/>
  <c r="D17" i="5" s="1"/>
  <c r="C18" i="5"/>
  <c r="D18" i="5" s="1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29" i="5"/>
  <c r="D29" i="5" s="1"/>
  <c r="C30" i="5"/>
  <c r="D30" i="5" s="1"/>
  <c r="C31" i="5"/>
  <c r="D31" i="5" s="1"/>
  <c r="C32" i="5"/>
  <c r="D32" i="5" s="1"/>
</calcChain>
</file>

<file path=xl/sharedStrings.xml><?xml version="1.0" encoding="utf-8"?>
<sst xmlns="http://schemas.openxmlformats.org/spreadsheetml/2006/main" count="86" uniqueCount="72">
  <si>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</si>
  <si>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</si>
  <si>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</si>
  <si>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</si>
  <si>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</si>
  <si>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</si>
  <si>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Norfolk Stakes
(14:30)</t>
  </si>
  <si>
    <t>King George V
(15:05)</t>
  </si>
  <si>
    <t>Ribblesdale Stakes
(15:40)</t>
  </si>
  <si>
    <t>Gold Cup
(16:20)</t>
  </si>
  <si>
    <t>Britannia Stakes
(17:00)</t>
  </si>
  <si>
    <t>Hampton Court
(17:35)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</si>
  <si>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</si>
  <si>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</si>
  <si>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</si>
  <si>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</si>
  <si>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</si>
  <si>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</si>
  <si>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</si>
  <si>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</si>
  <si>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</si>
  <si>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</si>
  <si>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</si>
  <si>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</si>
  <si>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Norfolk Stakes Pick</t>
  </si>
  <si>
    <t>Pts</t>
  </si>
  <si>
    <t>King George V Pick</t>
  </si>
  <si>
    <t>Ribblesdale Stakes Pick</t>
  </si>
  <si>
    <t>Gold Cup Pick</t>
  </si>
  <si>
    <t>Britannia Stakes Pick</t>
  </si>
  <si>
    <t>Hampton Court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</si>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</sst>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charset val="1"/>
    </font>
    <font>
      <i/>
      <sz val="10"/>
      <color rgb="FF666666"/>
      <name val="Georgia"/>
      <charset val="1"/>
    </font>
    <font>
      <b/>
      <sz val="11"/>
      <color rgb="FF1B4332"/>
      <name val="Georgia"/>
      <charset val="1"/>
    </font>
    <font>
      <sz val="11"/>
      <color rgb="FF333333"/>
      <name val="Georgia"/>
      <charset val="1"/>
    </font>
    <font>
      <b/>
      <sz val="16"/>
      <color rgb="FFFFFFFF"/>
      <name val="Georgia"/>
      <charset val="1"/>
    </font>
    <font>
      <b/>
      <sz val="10"/>
      <color rgb="FF1B4332"/>
      <name val="Georgia"/>
      <charset val="1"/>
    </font>
    <font>
      <b/>
      <sz val="10"/>
      <color rgb="FFFFFFFF"/>
      <name val="Georgia"/>
      <charset val="1"/>
    </font>
    <font>
      <sz val="10"/>
      <color rgb="FF999999"/>
      <name val="Georgia"/>
      <charset val="1"/>
    </font>
    <font>
      <i/>
      <sz val="10"/>
      <color rgb="FFC9A84C"/>
      <name val="Georgia"/>
      <charset val="1"/>
    </font>
    <font>
      <b/>
      <sz val="11"/>
      <color rgb="FFC9A84C"/>
      <name val="Georgia"/>
      <charset val="1"/>
    </font>
    <font>
      <i/>
      <sz val="10"/>
      <color rgb="FF999999"/>
      <name val="Georgia"/>
      <charset val="1"/>
    </font>
    <font>
      <b/>
      <sz val="9"/>
      <color rgb="FFFFFFFF"/>
      <name val="Georgia"/>
      <charset val="1"/>
    </font>
    <font>
      <b/>
      <sz val="12"/>
      <color rgb="FFFFFFFF"/>
      <name val="Georgia"/>
      <charset val="1"/>
    </font>
    <font>
      <b/>
      <sz val="18"/>
      <color rgb="FFFFFFFF"/>
      <name val="Georgia"/>
      <charset val="1"/>
    </font>
    <font>
      <b/>
      <sz val="12"/>
      <color rgb="FF1B4332"/>
      <name val="Georgia"/>
      <charset val="1"/>
    </font>
    <font>
      <sz val="12"/>
      <name val="Georgia"/>
      <charset val="1"/>
    </font>
    <font>
      <b/>
      <sz val="14"/>
      <color rgb="FF1B4332"/>
      <name val="Georgia"/>
      <charset val="1"/>
    </font>
    <font>
      <sz val="11"/>
      <name val="Georgia"/>
      <charset val="1"/>
    </font>
    <font>
      <b/>
      <sz val="13"/>
      <color rgb="FF1B4332"/>
      <name val="Georgia"/>
      <charset val="1"/>
    </font>
    <font>
      <b/>
      <sz val="13"/>
      <color rgb="FFC0392B"/>
      <name val="Georgia"/>
      <charset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9" fillId="3" borderId="0" xfId="0" applyFont="1" applyFill="1"/>
    <xf numFmtId="0" fontId="14" fillId="2" borderId="0" xfId="0" applyFont="1" applyFill="1" applyAlignment="1">
      <alignment horizontal="center" vertical="center" wrapText="1"/>
    </xf>
    <xf numFmtId="0" fontId="11" fillId="0" borderId="0" xfId="0" applyFont="1"/>
    <xf numFmtId="0" fontId="2" fillId="0" borderId="0" xfId="0" applyFont="1" applyAlignment="1">
      <alignment horizontal="left" vertical="center" wrapText="1"/>
    </xf>
    <xf numFmtId="0" fontId="2" fillId="0" borderId="0" xfId="0" applyFont="1"/>
    <xf numFmtId="0" fontId="1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/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6" t="s">
        <v>0</v>
      </c>
      <c r="B1" s="6"/>
    </row>
    <row r="2" spans="1:2" x14ac:dyDescent="0.3">
      <c r="A2" s="5" t="s">
        <v>1</v>
      </c>
      <c r="B2" s="5"/>
    </row>
    <row r="3" spans="1:2" x14ac:dyDescent="0.3">
      <c r="A3" s="9" t="s">
        <v>2</v>
      </c>
      <c r="B3" s="9" t="s">
        <v>3</v>
      </c>
    </row>
    <row r="4" spans="1:2" x14ac:dyDescent="0.3">
      <c r="A4" s="10">
        <v>1</v>
      </c>
      <c r="B4" s="11"/>
    </row>
    <row r="5" spans="1:2" x14ac:dyDescent="0.3">
      <c r="A5" s="12">
        <v>2</v>
      </c>
      <c r="B5" s="13"/>
    </row>
    <row r="6" spans="1:2" x14ac:dyDescent="0.3">
      <c r="A6" s="10">
        <v>3</v>
      </c>
      <c r="B6" s="11"/>
    </row>
    <row r="7" spans="1:2" x14ac:dyDescent="0.3">
      <c r="A7" s="12">
        <v>4</v>
      </c>
      <c r="B7" s="13"/>
    </row>
    <row r="8" spans="1:2" x14ac:dyDescent="0.3">
      <c r="A8" s="10">
        <v>5</v>
      </c>
      <c r="B8" s="11"/>
    </row>
    <row r="9" spans="1:2" x14ac:dyDescent="0.3">
      <c r="A9" s="12">
        <v>6</v>
      </c>
      <c r="B9" s="13"/>
    </row>
    <row r="10" spans="1:2" x14ac:dyDescent="0.3">
      <c r="A10" s="10">
        <v>7</v>
      </c>
      <c r="B10" s="11"/>
    </row>
    <row r="11" spans="1:2" x14ac:dyDescent="0.3">
      <c r="A11" s="12">
        <v>8</v>
      </c>
      <c r="B11" s="13"/>
    </row>
    <row r="12" spans="1:2" x14ac:dyDescent="0.3">
      <c r="A12" s="10">
        <v>9</v>
      </c>
      <c r="B12" s="11"/>
    </row>
    <row r="13" spans="1:2" x14ac:dyDescent="0.3">
      <c r="A13" s="12">
        <v>10</v>
      </c>
      <c r="B13" s="13"/>
    </row>
    <row r="14" spans="1:2" x14ac:dyDescent="0.3">
      <c r="A14" s="10">
        <v>11</v>
      </c>
      <c r="B14" s="11"/>
    </row>
    <row r="15" spans="1:2" x14ac:dyDescent="0.3">
      <c r="A15" s="12">
        <v>12</v>
      </c>
      <c r="B15" s="13"/>
    </row>
    <row r="16" spans="1:2" x14ac:dyDescent="0.3">
      <c r="A16" s="10">
        <v>13</v>
      </c>
      <c r="B16" s="11"/>
    </row>
    <row r="17" spans="1:2" x14ac:dyDescent="0.3">
      <c r="A17" s="12">
        <v>14</v>
      </c>
      <c r="B17" s="13"/>
    </row>
    <row r="18" spans="1:2" x14ac:dyDescent="0.3">
      <c r="A18" s="10">
        <v>15</v>
      </c>
      <c r="B18" s="11"/>
    </row>
    <row r="19" spans="1:2" x14ac:dyDescent="0.3">
      <c r="A19" s="12">
        <v>16</v>
      </c>
      <c r="B19" s="13"/>
    </row>
    <row r="20" spans="1:2" x14ac:dyDescent="0.3">
      <c r="A20" s="10">
        <v>17</v>
      </c>
      <c r="B20" s="11"/>
    </row>
    <row r="21" spans="1:2" x14ac:dyDescent="0.3">
      <c r="A21" s="12">
        <v>18</v>
      </c>
      <c r="B21" s="13"/>
    </row>
    <row r="22" spans="1:2" x14ac:dyDescent="0.3">
      <c r="A22" s="10">
        <v>19</v>
      </c>
      <c r="B22" s="11"/>
    </row>
    <row r="23" spans="1:2" x14ac:dyDescent="0.3">
      <c r="A23" s="12">
        <v>20</v>
      </c>
      <c r="B23" s="13"/>
    </row>
    <row r="24" spans="1:2" x14ac:dyDescent="0.3">
      <c r="A24" s="10">
        <v>21</v>
      </c>
      <c r="B24" s="11"/>
    </row>
    <row r="25" spans="1:2" x14ac:dyDescent="0.3">
      <c r="A25" s="12">
        <v>22</v>
      </c>
      <c r="B25" s="13"/>
    </row>
    <row r="26" spans="1:2" x14ac:dyDescent="0.3">
      <c r="A26" s="10">
        <v>23</v>
      </c>
      <c r="B26" s="11"/>
    </row>
    <row r="27" spans="1:2" x14ac:dyDescent="0.3">
      <c r="A27" s="12">
        <v>24</v>
      </c>
      <c r="B27" s="13"/>
    </row>
    <row r="28" spans="1:2" x14ac:dyDescent="0.3">
      <c r="A28" s="10">
        <v>25</v>
      </c>
      <c r="B28" s="11"/>
    </row>
    <row r="29" spans="1:2" x14ac:dyDescent="0.3">
      <c r="A29" s="12">
        <v>26</v>
      </c>
      <c r="B29" s="13"/>
    </row>
    <row r="30" spans="1:2" x14ac:dyDescent="0.3">
      <c r="A30" s="10">
        <v>27</v>
      </c>
      <c r="B30" s="11"/>
    </row>
    <row r="31" spans="1:2" x14ac:dyDescent="0.3">
      <c r="A31" s="12">
        <v>28</v>
      </c>
      <c r="B31" s="13"/>
    </row>
    <row r="32" spans="1:2" x14ac:dyDescent="0.3">
      <c r="A32" s="10">
        <v>29</v>
      </c>
      <c r="B32" s="11"/>
    </row>
    <row r="33" spans="1:2" x14ac:dyDescent="0.3">
      <c r="A33" s="12">
        <v>30</v>
      </c>
      <c r="B33" s="13"/>
    </row>
    <row r="34" spans="1:2" x14ac:dyDescent="0.3">
      <c r="A34" s="10">
        <v>31</v>
      </c>
      <c r="B34" s="11"/>
    </row>
    <row r="35" spans="1:2" x14ac:dyDescent="0.3">
      <c r="A35" s="12">
        <v>32</v>
      </c>
      <c r="B35" s="13"/>
    </row>
    <row r="36" spans="1:2" x14ac:dyDescent="0.3">
      <c r="A36" s="10">
        <v>33</v>
      </c>
      <c r="B36" s="11"/>
    </row>
    <row r="37" spans="1:2" x14ac:dyDescent="0.3">
      <c r="A37" s="12">
        <v>34</v>
      </c>
      <c r="B37" s="13"/>
    </row>
    <row r="38" spans="1:2" x14ac:dyDescent="0.3">
      <c r="A38" s="10">
        <v>35</v>
      </c>
      <c r="B38" s="11"/>
    </row>
    <row r="39" spans="1:2" x14ac:dyDescent="0.3">
      <c r="A39" s="12">
        <v>36</v>
      </c>
      <c r="B39" s="13"/>
    </row>
    <row r="40" spans="1:2" x14ac:dyDescent="0.3">
      <c r="A40" s="10">
        <v>37</v>
      </c>
      <c r="B40" s="11"/>
    </row>
    <row r="41" spans="1:2" x14ac:dyDescent="0.3">
      <c r="A41" s="12">
        <v>38</v>
      </c>
      <c r="B41" s="13"/>
    </row>
    <row r="42" spans="1:2" x14ac:dyDescent="0.3">
      <c r="A42" s="10">
        <v>39</v>
      </c>
      <c r="B42" s="11"/>
    </row>
    <row r="43" spans="1:2" x14ac:dyDescent="0.3">
      <c r="A43" s="12">
        <v>40</v>
      </c>
      <c r="B43" s="13"/>
    </row>
    <row r="44" spans="1:2" x14ac:dyDescent="0.3">
      <c r="A44" s="10">
        <v>41</v>
      </c>
      <c r="B44" s="11"/>
    </row>
    <row r="45" spans="1:2" x14ac:dyDescent="0.3">
      <c r="A45" s="12">
        <v>42</v>
      </c>
      <c r="B45" s="13"/>
    </row>
    <row r="46" spans="1:2" x14ac:dyDescent="0.3">
      <c r="A46" s="10">
        <v>43</v>
      </c>
      <c r="B46" s="11"/>
    </row>
    <row r="47" spans="1:2" x14ac:dyDescent="0.3">
      <c r="A47" s="12">
        <v>44</v>
      </c>
      <c r="B47" s="13"/>
    </row>
    <row r="48" spans="1:2" x14ac:dyDescent="0.3">
      <c r="A48" s="10">
        <v>45</v>
      </c>
      <c r="B48" s="11"/>
    </row>
    <row r="49" spans="1:2" x14ac:dyDescent="0.3">
      <c r="A49" s="12">
        <v>46</v>
      </c>
      <c r="B49" s="13"/>
    </row>
    <row r="50" spans="1:2" x14ac:dyDescent="0.3">
      <c r="A50" s="10">
        <v>47</v>
      </c>
      <c r="B50" s="11"/>
    </row>
    <row r="51" spans="1:2" x14ac:dyDescent="0.3">
      <c r="A51" s="12">
        <v>48</v>
      </c>
      <c r="B51" s="13"/>
    </row>
    <row r="52" spans="1:2" x14ac:dyDescent="0.3">
      <c r="A52" s="10">
        <v>49</v>
      </c>
      <c r="B52" s="11"/>
    </row>
    <row r="53" spans="1:2" x14ac:dyDescent="0.3">
      <c r="A53" s="12">
        <v>50</v>
      </c>
      <c r="B53" s="13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G33"/>
  <sheetViews>
    <sheetView zoomScaleNormal="100" workbookViewId="0"/>
  </sheetViews>
  <sheetFormatPr defaultColWidth="8.6640625" defaultRowHeight="14.4" x14ac:dyDescent="0.3"/>
  <cols>
    <col min="1" max="1" width="5" customWidth="1"/>
    <col min="2" max="7" width="25" customWidth="1"/>
  </cols>
  <sheetData>
    <row r="1" spans="1:7" ht="20.100000000000001" customHeight="1" x14ac:dyDescent="0.3">
      <c r="A1" s="8" t="s">
        <v>4</v>
      </c>
      <c r="B1" s="8"/>
      <c r="C1" s="8"/>
      <c r="D1" s="8"/>
      <c r="E1" s="8"/>
      <c r="F1" s="8"/>
      <c r="G1" s="8"/>
    </row>
    <row r="2" spans="1:7" ht="30" customHeight="1" x14ac:dyDescent="0.3">
      <c r="A2" s="4" t="s">
        <v>5</v>
      </c>
      <c r="B2" s="4"/>
      <c r="C2" s="4"/>
      <c r="D2" s="4"/>
      <c r="E2" s="4"/>
      <c r="F2" s="4"/>
      <c r="G2" s="4"/>
    </row>
    <row r="3" spans="1:7" ht="34.5" customHeight="1" x14ac:dyDescent="0.3">
      <c r="A3" s="14" t="s">
        <v>2</v>
      </c>
      <c r="B3" s="15" t="s">
        <v>6</v>
      </c>
      <c r="C3" s="15" t="s">
        <v>7</v>
      </c>
      <c r="D3" s="15" t="s">
        <v>8</v>
      </c>
      <c r="E3" s="15" t="s">
        <v>9</v>
      </c>
      <c r="F3" s="15" t="s">
        <v>10</v>
      </c>
      <c r="G3" s="15" t="s">
        <v>11</v>
      </c>
    </row>
    <row r="4" spans="1:7" x14ac:dyDescent="0.3">
      <c r="A4" s="16">
        <v>1</v>
      </c>
      <c r="B4" s="17"/>
      <c r="C4" s="17"/>
      <c r="D4" s="17"/>
      <c r="E4" s="17"/>
      <c r="F4" s="17"/>
      <c r="G4" s="17"/>
    </row>
    <row r="5" spans="1:7" x14ac:dyDescent="0.3">
      <c r="A5" s="18">
        <v>2</v>
      </c>
      <c r="B5" s="19"/>
      <c r="C5" s="19"/>
      <c r="D5" s="19"/>
      <c r="E5" s="19"/>
      <c r="F5" s="19"/>
      <c r="G5" s="19"/>
    </row>
    <row r="6" spans="1:7" x14ac:dyDescent="0.3">
      <c r="A6" s="16">
        <v>3</v>
      </c>
      <c r="B6" s="17"/>
      <c r="C6" s="17"/>
      <c r="D6" s="17"/>
      <c r="E6" s="17"/>
      <c r="F6" s="17"/>
      <c r="G6" s="17"/>
    </row>
    <row r="7" spans="1:7" x14ac:dyDescent="0.3">
      <c r="A7" s="18">
        <v>4</v>
      </c>
      <c r="B7" s="19"/>
      <c r="C7" s="19"/>
      <c r="D7" s="19"/>
      <c r="E7" s="19"/>
      <c r="F7" s="19"/>
      <c r="G7" s="19"/>
    </row>
    <row r="8" spans="1:7" x14ac:dyDescent="0.3">
      <c r="A8" s="16">
        <v>5</v>
      </c>
      <c r="B8" s="17"/>
      <c r="C8" s="17"/>
      <c r="D8" s="17"/>
      <c r="E8" s="17"/>
      <c r="F8" s="17"/>
      <c r="G8" s="17"/>
    </row>
    <row r="9" spans="1:7" x14ac:dyDescent="0.3">
      <c r="A9" s="18">
        <v>6</v>
      </c>
      <c r="B9" s="19"/>
      <c r="C9" s="19"/>
      <c r="D9" s="19"/>
      <c r="E9" s="19"/>
      <c r="F9" s="19"/>
      <c r="G9" s="19"/>
    </row>
    <row r="10" spans="1:7" x14ac:dyDescent="0.3">
      <c r="A10" s="16">
        <v>7</v>
      </c>
      <c r="B10" s="17"/>
      <c r="C10" s="17"/>
      <c r="D10" s="17"/>
      <c r="E10" s="17"/>
      <c r="F10" s="17"/>
      <c r="G10" s="17"/>
    </row>
    <row r="11" spans="1:7" x14ac:dyDescent="0.3">
      <c r="A11" s="18">
        <v>8</v>
      </c>
      <c r="B11" s="19"/>
      <c r="C11" s="19"/>
      <c r="D11" s="19"/>
      <c r="E11" s="19"/>
      <c r="F11" s="19"/>
      <c r="G11" s="19"/>
    </row>
    <row r="12" spans="1:7" x14ac:dyDescent="0.3">
      <c r="A12" s="16">
        <v>9</v>
      </c>
      <c r="B12" s="17"/>
      <c r="C12" s="17"/>
      <c r="D12" s="17"/>
      <c r="E12" s="17"/>
      <c r="F12" s="17"/>
      <c r="G12" s="17"/>
    </row>
    <row r="13" spans="1:7" x14ac:dyDescent="0.3">
      <c r="A13" s="18">
        <v>10</v>
      </c>
      <c r="B13" s="19"/>
      <c r="C13" s="19"/>
      <c r="D13" s="19"/>
      <c r="E13" s="19"/>
      <c r="F13" s="19"/>
      <c r="G13" s="19"/>
    </row>
    <row r="14" spans="1:7" x14ac:dyDescent="0.3">
      <c r="A14" s="16">
        <v>11</v>
      </c>
      <c r="B14" s="17"/>
      <c r="C14" s="17"/>
      <c r="D14" s="17"/>
      <c r="E14" s="17"/>
      <c r="F14" s="17"/>
      <c r="G14" s="17"/>
    </row>
    <row r="15" spans="1:7" x14ac:dyDescent="0.3">
      <c r="A15" s="18">
        <v>12</v>
      </c>
      <c r="B15" s="19"/>
      <c r="C15" s="19"/>
      <c r="D15" s="19"/>
      <c r="E15" s="19"/>
      <c r="F15" s="19"/>
      <c r="G15" s="19"/>
    </row>
    <row r="16" spans="1:7" x14ac:dyDescent="0.3">
      <c r="A16" s="16">
        <v>13</v>
      </c>
      <c r="B16" s="17"/>
      <c r="C16" s="17"/>
      <c r="D16" s="17"/>
      <c r="E16" s="17"/>
      <c r="F16" s="17"/>
      <c r="G16" s="17"/>
    </row>
    <row r="17" spans="1:7" x14ac:dyDescent="0.3">
      <c r="A17" s="18">
        <v>14</v>
      </c>
      <c r="B17" s="19"/>
      <c r="C17" s="19"/>
      <c r="D17" s="19"/>
      <c r="E17" s="19"/>
      <c r="F17" s="19"/>
      <c r="G17" s="19"/>
    </row>
    <row r="18" spans="1:7" x14ac:dyDescent="0.3">
      <c r="A18" s="16">
        <v>15</v>
      </c>
      <c r="B18" s="17"/>
      <c r="C18" s="17"/>
      <c r="D18" s="17"/>
      <c r="E18" s="17"/>
      <c r="F18" s="17"/>
      <c r="G18" s="17"/>
    </row>
    <row r="19" spans="1:7" x14ac:dyDescent="0.3">
      <c r="A19" s="18">
        <v>16</v>
      </c>
      <c r="B19" s="19"/>
      <c r="C19" s="19"/>
      <c r="D19" s="19"/>
      <c r="E19" s="19"/>
      <c r="F19" s="19"/>
      <c r="G19" s="19"/>
    </row>
    <row r="20" spans="1:7" x14ac:dyDescent="0.3">
      <c r="A20" s="16">
        <v>17</v>
      </c>
      <c r="B20" s="17"/>
      <c r="C20" s="17"/>
      <c r="D20" s="17"/>
      <c r="E20" s="17"/>
      <c r="F20" s="17"/>
      <c r="G20" s="17"/>
    </row>
    <row r="21" spans="1:7" x14ac:dyDescent="0.3">
      <c r="A21" s="18">
        <v>18</v>
      </c>
      <c r="B21" s="19"/>
      <c r="C21" s="19"/>
      <c r="D21" s="19"/>
      <c r="E21" s="19"/>
      <c r="F21" s="19"/>
      <c r="G21" s="19"/>
    </row>
    <row r="22" spans="1:7" x14ac:dyDescent="0.3">
      <c r="A22" s="16">
        <v>19</v>
      </c>
      <c r="B22" s="17"/>
      <c r="C22" s="17"/>
      <c r="D22" s="17"/>
      <c r="E22" s="17"/>
      <c r="F22" s="17"/>
      <c r="G22" s="17"/>
    </row>
    <row r="23" spans="1:7" x14ac:dyDescent="0.3">
      <c r="A23" s="18">
        <v>20</v>
      </c>
      <c r="B23" s="19"/>
      <c r="C23" s="19"/>
      <c r="D23" s="19"/>
      <c r="E23" s="19"/>
      <c r="F23" s="19"/>
      <c r="G23" s="19"/>
    </row>
    <row r="24" spans="1:7" x14ac:dyDescent="0.3">
      <c r="A24" s="16">
        <v>21</v>
      </c>
      <c r="B24" s="17"/>
      <c r="C24" s="17"/>
      <c r="D24" s="17"/>
      <c r="E24" s="17"/>
      <c r="F24" s="17"/>
      <c r="G24" s="17"/>
    </row>
    <row r="25" spans="1:7" x14ac:dyDescent="0.3">
      <c r="A25" s="18">
        <v>22</v>
      </c>
      <c r="B25" s="19"/>
      <c r="C25" s="19"/>
      <c r="D25" s="19"/>
      <c r="E25" s="19"/>
      <c r="F25" s="19"/>
      <c r="G25" s="19"/>
    </row>
    <row r="26" spans="1:7" x14ac:dyDescent="0.3">
      <c r="A26" s="16">
        <v>23</v>
      </c>
      <c r="B26" s="17"/>
      <c r="C26" s="17"/>
      <c r="D26" s="17"/>
      <c r="E26" s="17"/>
      <c r="F26" s="17"/>
      <c r="G26" s="17"/>
    </row>
    <row r="27" spans="1:7" x14ac:dyDescent="0.3">
      <c r="A27" s="18">
        <v>24</v>
      </c>
      <c r="B27" s="19"/>
      <c r="C27" s="19"/>
      <c r="D27" s="19"/>
      <c r="E27" s="19"/>
      <c r="F27" s="19"/>
      <c r="G27" s="19"/>
    </row>
    <row r="28" spans="1:7" x14ac:dyDescent="0.3">
      <c r="A28" s="16">
        <v>25</v>
      </c>
      <c r="B28" s="17"/>
      <c r="C28" s="17"/>
      <c r="D28" s="17"/>
      <c r="E28" s="17"/>
      <c r="F28" s="17"/>
      <c r="G28" s="17"/>
    </row>
    <row r="29" spans="1:7" x14ac:dyDescent="0.3">
      <c r="A29" s="18">
        <v>26</v>
      </c>
      <c r="B29" s="19"/>
      <c r="C29" s="19"/>
      <c r="D29" s="19"/>
      <c r="E29" s="19"/>
      <c r="F29" s="19"/>
      <c r="G29" s="19"/>
    </row>
    <row r="30" spans="1:7" x14ac:dyDescent="0.3">
      <c r="A30" s="16">
        <v>27</v>
      </c>
      <c r="B30" s="17"/>
      <c r="C30" s="17"/>
      <c r="D30" s="17"/>
      <c r="E30" s="17"/>
      <c r="F30" s="17"/>
      <c r="G30" s="17"/>
    </row>
    <row r="31" spans="1:7" x14ac:dyDescent="0.3">
      <c r="A31" s="18">
        <v>28</v>
      </c>
      <c r="B31" s="19"/>
      <c r="C31" s="19"/>
      <c r="D31" s="19"/>
      <c r="E31" s="19"/>
      <c r="F31" s="19"/>
      <c r="G31" s="19"/>
    </row>
    <row r="32" spans="1:7" x14ac:dyDescent="0.3">
      <c r="A32" s="16">
        <v>29</v>
      </c>
      <c r="B32" s="17"/>
      <c r="C32" s="17"/>
      <c r="D32" s="17"/>
      <c r="E32" s="17"/>
      <c r="F32" s="17"/>
      <c r="G32" s="17"/>
    </row>
    <row r="33" spans="1:7" x14ac:dyDescent="0.3">
      <c r="A33" s="18">
        <v>30</v>
      </c>
      <c r="B33" s="19"/>
      <c r="C33" s="19"/>
      <c r="D33" s="19"/>
      <c r="E33" s="19"/>
      <c r="F33" s="19"/>
      <c r="G33" s="19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/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8" t="s">
        <v>12</v>
      </c>
      <c r="B1" s="8"/>
      <c r="C1" s="8"/>
      <c r="D1" s="8"/>
      <c r="E1" s="8"/>
      <c r="F1" s="8"/>
      <c r="G1" s="8"/>
    </row>
    <row r="2" spans="1:7" ht="15" customHeight="1" x14ac:dyDescent="0.3">
      <c r="A2" s="7" t="s">
        <v>13</v>
      </c>
      <c r="B2" s="7"/>
      <c r="C2" s="7"/>
      <c r="D2" s="7"/>
      <c r="E2" s="7"/>
      <c r="F2" s="7"/>
      <c r="G2" s="7"/>
    </row>
    <row r="3" spans="1:7" ht="24.75" customHeight="1" x14ac:dyDescent="0.3">
      <c r="A3" s="20" t="s">
        <v>14</v>
      </c>
      <c r="B3" s="20" t="s">
        <v>15</v>
      </c>
      <c r="C3" s="20" t="s">
        <v>16</v>
      </c>
      <c r="D3" s="20" t="s">
        <v>17</v>
      </c>
      <c r="E3" s="20" t="s">
        <v>18</v>
      </c>
      <c r="F3" s="20" t="s">
        <v>19</v>
      </c>
      <c r="G3" s="20" t="s">
        <v>20</v>
      </c>
    </row>
    <row r="4" spans="1:7" ht="30" customHeight="1" x14ac:dyDescent="0.3">
      <c r="A4" s="14" t="s">
        <v>6</v>
      </c>
      <c r="B4" s="12"/>
      <c r="C4" s="12"/>
      <c r="D4" s="12"/>
      <c r="E4" s="12"/>
      <c r="F4" s="12"/>
      <c r="G4" s="12"/>
    </row>
    <row r="5" spans="1:7" ht="30" customHeight="1" x14ac:dyDescent="0.3">
      <c r="A5" s="14" t="s">
        <v>7</v>
      </c>
      <c r="B5" s="12"/>
      <c r="C5" s="12"/>
      <c r="D5" s="12"/>
      <c r="E5" s="12"/>
      <c r="F5" s="12"/>
      <c r="G5" s="12"/>
    </row>
    <row r="6" spans="1:7" ht="30" customHeight="1" x14ac:dyDescent="0.3">
      <c r="A6" s="14" t="s">
        <v>8</v>
      </c>
      <c r="B6" s="12"/>
      <c r="C6" s="12"/>
      <c r="D6" s="12"/>
      <c r="E6" s="12"/>
      <c r="F6" s="12"/>
      <c r="G6" s="12"/>
    </row>
    <row r="7" spans="1:7" ht="30" customHeight="1" x14ac:dyDescent="0.3">
      <c r="A7" s="14" t="s">
        <v>9</v>
      </c>
      <c r="B7" s="12"/>
      <c r="C7" s="12"/>
      <c r="D7" s="12"/>
      <c r="E7" s="12"/>
      <c r="F7" s="12"/>
      <c r="G7" s="12"/>
    </row>
    <row r="8" spans="1:7" ht="30" customHeight="1" x14ac:dyDescent="0.3">
      <c r="A8" s="14" t="s">
        <v>10</v>
      </c>
      <c r="B8" s="12"/>
      <c r="C8" s="12"/>
      <c r="D8" s="12"/>
      <c r="E8" s="12"/>
      <c r="F8" s="12"/>
      <c r="G8" s="12"/>
    </row>
    <row r="9" spans="1:7" ht="30" customHeight="1" x14ac:dyDescent="0.3">
      <c r="A9" s="14" t="s">
        <v>11</v>
      </c>
      <c r="B9" s="12"/>
      <c r="C9" s="12"/>
      <c r="D9" s="12"/>
      <c r="E9" s="12"/>
      <c r="F9" s="12"/>
      <c r="G9" s="12"/>
    </row>
    <row r="11" spans="1:7" x14ac:dyDescent="0.3">
      <c r="A11" s="3" t="s">
        <v>21</v>
      </c>
      <c r="B11" s="3"/>
      <c r="C11" s="3"/>
      <c r="D11" s="3"/>
      <c r="E11" s="3"/>
      <c r="F11" s="3"/>
      <c r="G11" s="3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Card'!$B$4:$B$33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Card'!$C$4:$C$33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Card'!$D$4:$D$33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Card'!$E$4:$E$33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Card'!$F$4:$F$33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Card'!$G$4:$G$33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O33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11" sqref="B11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16" customWidth="1"/>
    <col min="14" max="14" width="6" customWidth="1"/>
    <col min="15" max="15" width="8" customWidth="1"/>
  </cols>
  <sheetData>
    <row r="1" spans="1:15" ht="20.100000000000001" customHeight="1" x14ac:dyDescent="0.3">
      <c r="A1" s="8" t="s">
        <v>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ht="15" customHeight="1" x14ac:dyDescent="0.3">
      <c r="A2" s="7" t="s">
        <v>23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pans="1:15" ht="22.8" x14ac:dyDescent="0.3">
      <c r="A3" s="21" t="s">
        <v>2</v>
      </c>
      <c r="B3" s="22" t="s">
        <v>3</v>
      </c>
      <c r="C3" s="22" t="s">
        <v>24</v>
      </c>
      <c r="D3" s="21" t="s">
        <v>25</v>
      </c>
      <c r="E3" s="22" t="s">
        <v>26</v>
      </c>
      <c r="F3" s="21" t="s">
        <v>25</v>
      </c>
      <c r="G3" s="22" t="s">
        <v>27</v>
      </c>
      <c r="H3" s="21" t="s">
        <v>25</v>
      </c>
      <c r="I3" s="22" t="s">
        <v>28</v>
      </c>
      <c r="J3" s="21" t="s">
        <v>25</v>
      </c>
      <c r="K3" s="22" t="s">
        <v>29</v>
      </c>
      <c r="L3" s="21" t="s">
        <v>25</v>
      </c>
      <c r="M3" s="22" t="s">
        <v>30</v>
      </c>
      <c r="N3" s="21" t="s">
        <v>25</v>
      </c>
      <c r="O3" s="21" t="s">
        <v>31</v>
      </c>
    </row>
    <row r="4" spans="1:15" ht="15.6" x14ac:dyDescent="0.3">
      <c r="A4" s="23">
        <v>1</v>
      </c>
      <c r="B4" s="24"/>
      <c r="C4" s="23"/>
      <c r="D4" s="25" t="str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/>
      </c>
      <c r="E4" s="23"/>
      <c r="F4" s="25" t="str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/>
      </c>
      <c r="G4" s="23"/>
      <c r="H4" s="25" t="str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/>
      </c>
      <c r="I4" s="23"/>
      <c r="J4" s="25" t="str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/>
      </c>
      <c r="K4" s="23"/>
      <c r="L4" s="25" t="str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/>
      </c>
      <c r="M4" s="23"/>
      <c r="N4" s="25" t="str">
        <f>IF(M4="","",IF(UPPER(M4)=UPPER('Race Results'!B9),10,IF(UPPER(M4)=UPPER('Race Results'!C9),6,IF(UPPER(M4)=UPPER('Race Results'!D9),4,IF(UPPER(M4)=UPPER('Race Results'!E9),3,IF(UPPER(M4)=UPPER('Race Results'!F9),2,IF(UPPER(M4)=UPPER('Race Results'!G9),1,0)))))))</f>
        <v/>
      </c>
      <c r="O4" s="26">
        <f t="shared" ref="O4:O33" si="0">IF(COUNTA(D4,F4,H4,J4,L4,N4)=0,"",SUM(D4,F4,H4,J4,L4,N4))</f>
        <v>0</v>
      </c>
    </row>
    <row r="5" spans="1:15" ht="15.6" x14ac:dyDescent="0.3">
      <c r="A5" s="12">
        <v>2</v>
      </c>
      <c r="B5" s="13"/>
      <c r="C5" s="12"/>
      <c r="D5" s="25" t="str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/>
      </c>
      <c r="E5" s="12"/>
      <c r="F5" s="25" t="str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/>
      </c>
      <c r="G5" s="12"/>
      <c r="H5" s="25" t="str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/>
      </c>
      <c r="I5" s="12"/>
      <c r="J5" s="25" t="str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/>
      </c>
      <c r="K5" s="12"/>
      <c r="L5" s="25" t="str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/>
      </c>
      <c r="M5" s="12"/>
      <c r="N5" s="25" t="str">
        <f>IF(M5="","",IF(UPPER(M5)=UPPER('Race Results'!B9),10,IF(UPPER(M5)=UPPER('Race Results'!C9),6,IF(UPPER(M5)=UPPER('Race Results'!D9),4,IF(UPPER(M5)=UPPER('Race Results'!E9),3,IF(UPPER(M5)=UPPER('Race Results'!F9),2,IF(UPPER(M5)=UPPER('Race Results'!G9),1,0)))))))</f>
        <v/>
      </c>
      <c r="O5" s="26">
        <f t="shared" si="0"/>
        <v>0</v>
      </c>
    </row>
    <row r="6" spans="1:15" ht="15.6" x14ac:dyDescent="0.3">
      <c r="A6" s="23">
        <v>3</v>
      </c>
      <c r="B6" s="24"/>
      <c r="C6" s="23"/>
      <c r="D6" s="25" t="str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/>
      </c>
      <c r="E6" s="23"/>
      <c r="F6" s="25" t="str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/>
      </c>
      <c r="G6" s="23"/>
      <c r="H6" s="25" t="str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/>
      </c>
      <c r="I6" s="23"/>
      <c r="J6" s="25" t="str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/>
      </c>
      <c r="K6" s="23"/>
      <c r="L6" s="25" t="str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/>
      </c>
      <c r="M6" s="23"/>
      <c r="N6" s="25" t="str">
        <f>IF(M6="","",IF(UPPER(M6)=UPPER('Race Results'!B9),10,IF(UPPER(M6)=UPPER('Race Results'!C9),6,IF(UPPER(M6)=UPPER('Race Results'!D9),4,IF(UPPER(M6)=UPPER('Race Results'!E9),3,IF(UPPER(M6)=UPPER('Race Results'!F9),2,IF(UPPER(M6)=UPPER('Race Results'!G9),1,0)))))))</f>
        <v/>
      </c>
      <c r="O6" s="26">
        <f t="shared" si="0"/>
        <v>0</v>
      </c>
    </row>
    <row r="7" spans="1:15" ht="15.6" x14ac:dyDescent="0.3">
      <c r="A7" s="12">
        <v>4</v>
      </c>
      <c r="B7" s="13"/>
      <c r="C7" s="12"/>
      <c r="D7" s="25" t="str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/>
      </c>
      <c r="E7" s="12"/>
      <c r="F7" s="25" t="str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/>
      </c>
      <c r="G7" s="12"/>
      <c r="H7" s="25" t="str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/>
      </c>
      <c r="I7" s="12"/>
      <c r="J7" s="25" t="str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/>
      </c>
      <c r="K7" s="12"/>
      <c r="L7" s="25" t="str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/>
      </c>
      <c r="M7" s="12"/>
      <c r="N7" s="25" t="str">
        <f>IF(M7="","",IF(UPPER(M7)=UPPER('Race Results'!B9),10,IF(UPPER(M7)=UPPER('Race Results'!C9),6,IF(UPPER(M7)=UPPER('Race Results'!D9),4,IF(UPPER(M7)=UPPER('Race Results'!E9),3,IF(UPPER(M7)=UPPER('Race Results'!F9),2,IF(UPPER(M7)=UPPER('Race Results'!G9),1,0)))))))</f>
        <v/>
      </c>
      <c r="O7" s="26">
        <f t="shared" si="0"/>
        <v>0</v>
      </c>
    </row>
    <row r="8" spans="1:15" ht="15.6" x14ac:dyDescent="0.3">
      <c r="A8" s="23">
        <v>5</v>
      </c>
      <c r="B8" s="24"/>
      <c r="C8" s="23"/>
      <c r="D8" s="25" t="str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/>
      </c>
      <c r="E8" s="23"/>
      <c r="F8" s="25" t="str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/>
      </c>
      <c r="G8" s="23"/>
      <c r="H8" s="25" t="str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/>
      </c>
      <c r="I8" s="23"/>
      <c r="J8" s="25" t="str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/>
      </c>
      <c r="K8" s="23"/>
      <c r="L8" s="25" t="str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/>
      </c>
      <c r="M8" s="23"/>
      <c r="N8" s="25" t="str">
        <f>IF(M8="","",IF(UPPER(M8)=UPPER('Race Results'!B9),10,IF(UPPER(M8)=UPPER('Race Results'!C9),6,IF(UPPER(M8)=UPPER('Race Results'!D9),4,IF(UPPER(M8)=UPPER('Race Results'!E9),3,IF(UPPER(M8)=UPPER('Race Results'!F9),2,IF(UPPER(M8)=UPPER('Race Results'!G9),1,0)))))))</f>
        <v/>
      </c>
      <c r="O8" s="26">
        <f t="shared" si="0"/>
        <v>0</v>
      </c>
    </row>
    <row r="9" spans="1:15" ht="15.6" x14ac:dyDescent="0.3">
      <c r="A9" s="12">
        <v>6</v>
      </c>
      <c r="B9" s="13"/>
      <c r="C9" s="12"/>
      <c r="D9" s="25" t="str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/>
      </c>
      <c r="E9" s="12"/>
      <c r="F9" s="25" t="str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/>
      </c>
      <c r="G9" s="12"/>
      <c r="H9" s="25" t="str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/>
      </c>
      <c r="I9" s="12"/>
      <c r="J9" s="25" t="str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/>
      </c>
      <c r="K9" s="12"/>
      <c r="L9" s="25" t="str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/>
      </c>
      <c r="M9" s="12"/>
      <c r="N9" s="25" t="str">
        <f>IF(M9="","",IF(UPPER(M9)=UPPER('Race Results'!B9),10,IF(UPPER(M9)=UPPER('Race Results'!C9),6,IF(UPPER(M9)=UPPER('Race Results'!D9),4,IF(UPPER(M9)=UPPER('Race Results'!E9),3,IF(UPPER(M9)=UPPER('Race Results'!F9),2,IF(UPPER(M9)=UPPER('Race Results'!G9),1,0)))))))</f>
        <v/>
      </c>
      <c r="O9" s="26">
        <f t="shared" si="0"/>
        <v>0</v>
      </c>
    </row>
    <row r="10" spans="1:15" ht="15.6" x14ac:dyDescent="0.3">
      <c r="A10" s="23">
        <v>7</v>
      </c>
      <c r="B10" s="24"/>
      <c r="C10" s="23"/>
      <c r="D10" s="25" t="str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/>
      </c>
      <c r="E10" s="23"/>
      <c r="F10" s="25" t="str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/>
      </c>
      <c r="G10" s="23"/>
      <c r="H10" s="25" t="str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/>
      </c>
      <c r="I10" s="23"/>
      <c r="J10" s="25" t="str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/>
      </c>
      <c r="K10" s="23"/>
      <c r="L10" s="25" t="str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/>
      </c>
      <c r="M10" s="23"/>
      <c r="N10" s="25" t="str">
        <f>IF(M10="","",IF(UPPER(M10)=UPPER('Race Results'!B9),10,IF(UPPER(M10)=UPPER('Race Results'!C9),6,IF(UPPER(M10)=UPPER('Race Results'!D9),4,IF(UPPER(M10)=UPPER('Race Results'!E9),3,IF(UPPER(M10)=UPPER('Race Results'!F9),2,IF(UPPER(M10)=UPPER('Race Results'!G9),1,0)))))))</f>
        <v/>
      </c>
      <c r="O10" s="26">
        <f t="shared" si="0"/>
        <v>0</v>
      </c>
    </row>
    <row r="11" spans="1:15" ht="15.6" x14ac:dyDescent="0.3">
      <c r="A11" s="12">
        <v>8</v>
      </c>
      <c r="B11" s="13"/>
      <c r="C11" s="12"/>
      <c r="D11" s="25" t="str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/>
      </c>
      <c r="E11" s="12"/>
      <c r="F11" s="25" t="str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/>
      </c>
      <c r="G11" s="12"/>
      <c r="H11" s="25" t="str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/>
      </c>
      <c r="I11" s="12"/>
      <c r="J11" s="25" t="str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/>
      </c>
      <c r="K11" s="12"/>
      <c r="L11" s="25" t="str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/>
      </c>
      <c r="M11" s="12"/>
      <c r="N11" s="25" t="str">
        <f>IF(M11="","",IF(UPPER(M11)=UPPER('Race Results'!B9),10,IF(UPPER(M11)=UPPER('Race Results'!C9),6,IF(UPPER(M11)=UPPER('Race Results'!D9),4,IF(UPPER(M11)=UPPER('Race Results'!E9),3,IF(UPPER(M11)=UPPER('Race Results'!F9),2,IF(UPPER(M11)=UPPER('Race Results'!G9),1,0)))))))</f>
        <v/>
      </c>
      <c r="O11" s="26">
        <f t="shared" si="0"/>
        <v>0</v>
      </c>
    </row>
    <row r="12" spans="1:15" ht="15.6" x14ac:dyDescent="0.3">
      <c r="A12" s="23">
        <v>9</v>
      </c>
      <c r="B12" s="24"/>
      <c r="C12" s="23"/>
      <c r="D12" s="25" t="str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/>
      </c>
      <c r="E12" s="23"/>
      <c r="F12" s="25" t="str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/>
      </c>
      <c r="G12" s="23"/>
      <c r="H12" s="25" t="str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/>
      </c>
      <c r="I12" s="23"/>
      <c r="J12" s="25" t="str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/>
      </c>
      <c r="K12" s="23"/>
      <c r="L12" s="25" t="str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/>
      </c>
      <c r="M12" s="23"/>
      <c r="N12" s="25" t="str">
        <f>IF(M12="","",IF(UPPER(M12)=UPPER('Race Results'!B9),10,IF(UPPER(M12)=UPPER('Race Results'!C9),6,IF(UPPER(M12)=UPPER('Race Results'!D9),4,IF(UPPER(M12)=UPPER('Race Results'!E9),3,IF(UPPER(M12)=UPPER('Race Results'!F9),2,IF(UPPER(M12)=UPPER('Race Results'!G9),1,0)))))))</f>
        <v/>
      </c>
      <c r="O12" s="26">
        <f t="shared" si="0"/>
        <v>0</v>
      </c>
    </row>
    <row r="13" spans="1:15" ht="15.6" x14ac:dyDescent="0.3">
      <c r="A13" s="12">
        <v>10</v>
      </c>
      <c r="B13" s="13"/>
      <c r="C13" s="12"/>
      <c r="D13" s="25" t="str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/>
      </c>
      <c r="E13" s="12"/>
      <c r="F13" s="25" t="str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/>
      </c>
      <c r="G13" s="12"/>
      <c r="H13" s="25" t="str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/>
      </c>
      <c r="I13" s="12"/>
      <c r="J13" s="25" t="str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/>
      </c>
      <c r="K13" s="12"/>
      <c r="L13" s="25" t="str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/>
      </c>
      <c r="M13" s="12"/>
      <c r="N13" s="25" t="str">
        <f>IF(M13="","",IF(UPPER(M13)=UPPER('Race Results'!B9),10,IF(UPPER(M13)=UPPER('Race Results'!C9),6,IF(UPPER(M13)=UPPER('Race Results'!D9),4,IF(UPPER(M13)=UPPER('Race Results'!E9),3,IF(UPPER(M13)=UPPER('Race Results'!F9),2,IF(UPPER(M13)=UPPER('Race Results'!G9),1,0)))))))</f>
        <v/>
      </c>
      <c r="O13" s="26">
        <f t="shared" si="0"/>
        <v>0</v>
      </c>
    </row>
    <row r="14" spans="1:15" ht="15.6" x14ac:dyDescent="0.3">
      <c r="A14" s="23">
        <v>11</v>
      </c>
      <c r="B14" s="24"/>
      <c r="C14" s="23"/>
      <c r="D14" s="25" t="str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/>
      </c>
      <c r="E14" s="23"/>
      <c r="F14" s="25" t="str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/>
      </c>
      <c r="G14" s="23"/>
      <c r="H14" s="25" t="str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/>
      </c>
      <c r="I14" s="23"/>
      <c r="J14" s="25" t="str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/>
      </c>
      <c r="K14" s="23"/>
      <c r="L14" s="25" t="str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/>
      </c>
      <c r="M14" s="23"/>
      <c r="N14" s="25" t="str">
        <f>IF(M14="","",IF(UPPER(M14)=UPPER('Race Results'!B9),10,IF(UPPER(M14)=UPPER('Race Results'!C9),6,IF(UPPER(M14)=UPPER('Race Results'!D9),4,IF(UPPER(M14)=UPPER('Race Results'!E9),3,IF(UPPER(M14)=UPPER('Race Results'!F9),2,IF(UPPER(M14)=UPPER('Race Results'!G9),1,0)))))))</f>
        <v/>
      </c>
      <c r="O14" s="26">
        <f t="shared" si="0"/>
        <v>0</v>
      </c>
    </row>
    <row r="15" spans="1:15" ht="15.6" x14ac:dyDescent="0.3">
      <c r="A15" s="12">
        <v>12</v>
      </c>
      <c r="B15" s="13"/>
      <c r="C15" s="12"/>
      <c r="D15" s="25" t="str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/>
      </c>
      <c r="E15" s="12"/>
      <c r="F15" s="25" t="str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/>
      </c>
      <c r="G15" s="12"/>
      <c r="H15" s="25" t="str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/>
      </c>
      <c r="I15" s="12"/>
      <c r="J15" s="25" t="str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/>
      </c>
      <c r="K15" s="12"/>
      <c r="L15" s="25" t="str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/>
      </c>
      <c r="M15" s="12"/>
      <c r="N15" s="25" t="str">
        <f>IF(M15="","",IF(UPPER(M15)=UPPER('Race Results'!B9),10,IF(UPPER(M15)=UPPER('Race Results'!C9),6,IF(UPPER(M15)=UPPER('Race Results'!D9),4,IF(UPPER(M15)=UPPER('Race Results'!E9),3,IF(UPPER(M15)=UPPER('Race Results'!F9),2,IF(UPPER(M15)=UPPER('Race Results'!G9),1,0)))))))</f>
        <v/>
      </c>
      <c r="O15" s="26">
        <f t="shared" si="0"/>
        <v>0</v>
      </c>
    </row>
    <row r="16" spans="1:15" ht="15.6" x14ac:dyDescent="0.3">
      <c r="A16" s="23">
        <v>13</v>
      </c>
      <c r="B16" s="24"/>
      <c r="C16" s="23"/>
      <c r="D16" s="25" t="str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/>
      </c>
      <c r="E16" s="23"/>
      <c r="F16" s="25" t="str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/>
      </c>
      <c r="G16" s="23"/>
      <c r="H16" s="25" t="str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/>
      </c>
      <c r="I16" s="23"/>
      <c r="J16" s="25" t="str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/>
      </c>
      <c r="K16" s="23"/>
      <c r="L16" s="25" t="str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/>
      </c>
      <c r="M16" s="23"/>
      <c r="N16" s="25" t="str">
        <f>IF(M16="","",IF(UPPER(M16)=UPPER('Race Results'!B9),10,IF(UPPER(M16)=UPPER('Race Results'!C9),6,IF(UPPER(M16)=UPPER('Race Results'!D9),4,IF(UPPER(M16)=UPPER('Race Results'!E9),3,IF(UPPER(M16)=UPPER('Race Results'!F9),2,IF(UPPER(M16)=UPPER('Race Results'!G9),1,0)))))))</f>
        <v/>
      </c>
      <c r="O16" s="26">
        <f t="shared" si="0"/>
        <v>0</v>
      </c>
    </row>
    <row r="17" spans="1:15" ht="15.6" x14ac:dyDescent="0.3">
      <c r="A17" s="12">
        <v>14</v>
      </c>
      <c r="B17" s="13"/>
      <c r="C17" s="12"/>
      <c r="D17" s="25" t="str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/>
      </c>
      <c r="E17" s="12"/>
      <c r="F17" s="25" t="str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/>
      </c>
      <c r="G17" s="12"/>
      <c r="H17" s="25" t="str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/>
      </c>
      <c r="I17" s="12"/>
      <c r="J17" s="25" t="str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/>
      </c>
      <c r="K17" s="12"/>
      <c r="L17" s="25" t="str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/>
      </c>
      <c r="M17" s="12"/>
      <c r="N17" s="25" t="str">
        <f>IF(M17="","",IF(UPPER(M17)=UPPER('Race Results'!B9),10,IF(UPPER(M17)=UPPER('Race Results'!C9),6,IF(UPPER(M17)=UPPER('Race Results'!D9),4,IF(UPPER(M17)=UPPER('Race Results'!E9),3,IF(UPPER(M17)=UPPER('Race Results'!F9),2,IF(UPPER(M17)=UPPER('Race Results'!G9),1,0)))))))</f>
        <v/>
      </c>
      <c r="O17" s="26">
        <f t="shared" si="0"/>
        <v>0</v>
      </c>
    </row>
    <row r="18" spans="1:15" ht="15.6" x14ac:dyDescent="0.3">
      <c r="A18" s="23">
        <v>15</v>
      </c>
      <c r="B18" s="24"/>
      <c r="C18" s="23"/>
      <c r="D18" s="25" t="str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/>
      </c>
      <c r="E18" s="23"/>
      <c r="F18" s="25" t="str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/>
      </c>
      <c r="G18" s="23"/>
      <c r="H18" s="25" t="str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/>
      </c>
      <c r="I18" s="23"/>
      <c r="J18" s="25" t="str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/>
      </c>
      <c r="K18" s="23"/>
      <c r="L18" s="25" t="str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/>
      </c>
      <c r="M18" s="23"/>
      <c r="N18" s="25" t="str">
        <f>IF(M18="","",IF(UPPER(M18)=UPPER('Race Results'!B9),10,IF(UPPER(M18)=UPPER('Race Results'!C9),6,IF(UPPER(M18)=UPPER('Race Results'!D9),4,IF(UPPER(M18)=UPPER('Race Results'!E9),3,IF(UPPER(M18)=UPPER('Race Results'!F9),2,IF(UPPER(M18)=UPPER('Race Results'!G9),1,0)))))))</f>
        <v/>
      </c>
      <c r="O18" s="26">
        <f t="shared" si="0"/>
        <v>0</v>
      </c>
    </row>
    <row r="19" spans="1:15" ht="15.6" x14ac:dyDescent="0.3">
      <c r="A19" s="12">
        <v>16</v>
      </c>
      <c r="B19" s="13"/>
      <c r="C19" s="12"/>
      <c r="D19" s="25" t="str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/>
      </c>
      <c r="E19" s="12"/>
      <c r="F19" s="25" t="str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/>
      </c>
      <c r="G19" s="12"/>
      <c r="H19" s="25" t="str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/>
      </c>
      <c r="I19" s="12"/>
      <c r="J19" s="25" t="str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/>
      </c>
      <c r="K19" s="12"/>
      <c r="L19" s="25" t="str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/>
      </c>
      <c r="M19" s="12"/>
      <c r="N19" s="25" t="str">
        <f>IF(M19="","",IF(UPPER(M19)=UPPER('Race Results'!B9),10,IF(UPPER(M19)=UPPER('Race Results'!C9),6,IF(UPPER(M19)=UPPER('Race Results'!D9),4,IF(UPPER(M19)=UPPER('Race Results'!E9),3,IF(UPPER(M19)=UPPER('Race Results'!F9),2,IF(UPPER(M19)=UPPER('Race Results'!G9),1,0)))))))</f>
        <v/>
      </c>
      <c r="O19" s="26">
        <f t="shared" si="0"/>
        <v>0</v>
      </c>
    </row>
    <row r="20" spans="1:15" ht="15.6" x14ac:dyDescent="0.3">
      <c r="A20" s="23">
        <v>17</v>
      </c>
      <c r="B20" s="24"/>
      <c r="C20" s="23"/>
      <c r="D20" s="25" t="str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/>
      </c>
      <c r="E20" s="23"/>
      <c r="F20" s="25" t="str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/>
      </c>
      <c r="G20" s="23"/>
      <c r="H20" s="25" t="str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/>
      </c>
      <c r="I20" s="23"/>
      <c r="J20" s="25" t="str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/>
      </c>
      <c r="K20" s="23"/>
      <c r="L20" s="25" t="str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/>
      </c>
      <c r="M20" s="23"/>
      <c r="N20" s="25" t="str">
        <f>IF(M20="","",IF(UPPER(M20)=UPPER('Race Results'!B9),10,IF(UPPER(M20)=UPPER('Race Results'!C9),6,IF(UPPER(M20)=UPPER('Race Results'!D9),4,IF(UPPER(M20)=UPPER('Race Results'!E9),3,IF(UPPER(M20)=UPPER('Race Results'!F9),2,IF(UPPER(M20)=UPPER('Race Results'!G9),1,0)))))))</f>
        <v/>
      </c>
      <c r="O20" s="26">
        <f t="shared" si="0"/>
        <v>0</v>
      </c>
    </row>
    <row r="21" spans="1:15" ht="15.6" x14ac:dyDescent="0.3">
      <c r="A21" s="12">
        <v>18</v>
      </c>
      <c r="B21" s="13"/>
      <c r="C21" s="12"/>
      <c r="D21" s="25" t="str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/>
      </c>
      <c r="E21" s="12"/>
      <c r="F21" s="25" t="str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/>
      </c>
      <c r="G21" s="12"/>
      <c r="H21" s="25" t="str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/>
      </c>
      <c r="I21" s="12"/>
      <c r="J21" s="25" t="str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/>
      </c>
      <c r="K21" s="12"/>
      <c r="L21" s="25" t="str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/>
      </c>
      <c r="M21" s="12"/>
      <c r="N21" s="25" t="str">
        <f>IF(M21="","",IF(UPPER(M21)=UPPER('Race Results'!B9),10,IF(UPPER(M21)=UPPER('Race Results'!C9),6,IF(UPPER(M21)=UPPER('Race Results'!D9),4,IF(UPPER(M21)=UPPER('Race Results'!E9),3,IF(UPPER(M21)=UPPER('Race Results'!F9),2,IF(UPPER(M21)=UPPER('Race Results'!G9),1,0)))))))</f>
        <v/>
      </c>
      <c r="O21" s="26">
        <f t="shared" si="0"/>
        <v>0</v>
      </c>
    </row>
    <row r="22" spans="1:15" ht="15.6" x14ac:dyDescent="0.3">
      <c r="A22" s="23">
        <v>19</v>
      </c>
      <c r="B22" s="24"/>
      <c r="C22" s="23"/>
      <c r="D22" s="25" t="str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/>
      </c>
      <c r="E22" s="23"/>
      <c r="F22" s="25" t="str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/>
      </c>
      <c r="G22" s="23"/>
      <c r="H22" s="25" t="str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/>
      </c>
      <c r="I22" s="23"/>
      <c r="J22" s="25" t="str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/>
      </c>
      <c r="K22" s="23"/>
      <c r="L22" s="25" t="str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/>
      </c>
      <c r="M22" s="23"/>
      <c r="N22" s="25" t="str">
        <f>IF(M22="","",IF(UPPER(M22)=UPPER('Race Results'!B9),10,IF(UPPER(M22)=UPPER('Race Results'!C9),6,IF(UPPER(M22)=UPPER('Race Results'!D9),4,IF(UPPER(M22)=UPPER('Race Results'!E9),3,IF(UPPER(M22)=UPPER('Race Results'!F9),2,IF(UPPER(M22)=UPPER('Race Results'!G9),1,0)))))))</f>
        <v/>
      </c>
      <c r="O22" s="26">
        <f t="shared" si="0"/>
        <v>0</v>
      </c>
    </row>
    <row r="23" spans="1:15" ht="15.6" x14ac:dyDescent="0.3">
      <c r="A23" s="12">
        <v>20</v>
      </c>
      <c r="B23" s="13"/>
      <c r="C23" s="12"/>
      <c r="D23" s="25" t="str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/>
      </c>
      <c r="E23" s="12"/>
      <c r="F23" s="25" t="str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/>
      </c>
      <c r="G23" s="12"/>
      <c r="H23" s="25" t="str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/>
      </c>
      <c r="I23" s="12"/>
      <c r="J23" s="25" t="str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/>
      </c>
      <c r="K23" s="12"/>
      <c r="L23" s="25" t="str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/>
      </c>
      <c r="M23" s="12"/>
      <c r="N23" s="25" t="str">
        <f>IF(M23="","",IF(UPPER(M23)=UPPER('Race Results'!B9),10,IF(UPPER(M23)=UPPER('Race Results'!C9),6,IF(UPPER(M23)=UPPER('Race Results'!D9),4,IF(UPPER(M23)=UPPER('Race Results'!E9),3,IF(UPPER(M23)=UPPER('Race Results'!F9),2,IF(UPPER(M23)=UPPER('Race Results'!G9),1,0)))))))</f>
        <v/>
      </c>
      <c r="O23" s="26">
        <f t="shared" si="0"/>
        <v>0</v>
      </c>
    </row>
    <row r="24" spans="1:15" ht="15.6" x14ac:dyDescent="0.3">
      <c r="A24" s="23">
        <v>21</v>
      </c>
      <c r="B24" s="24"/>
      <c r="C24" s="23"/>
      <c r="D24" s="25" t="str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/>
      </c>
      <c r="E24" s="23"/>
      <c r="F24" s="25" t="str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/>
      </c>
      <c r="G24" s="23"/>
      <c r="H24" s="25" t="str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/>
      </c>
      <c r="I24" s="23"/>
      <c r="J24" s="25" t="str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/>
      </c>
      <c r="K24" s="23"/>
      <c r="L24" s="25" t="str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/>
      </c>
      <c r="M24" s="23"/>
      <c r="N24" s="25" t="str">
        <f>IF(M24="","",IF(UPPER(M24)=UPPER('Race Results'!B9),10,IF(UPPER(M24)=UPPER('Race Results'!C9),6,IF(UPPER(M24)=UPPER('Race Results'!D9),4,IF(UPPER(M24)=UPPER('Race Results'!E9),3,IF(UPPER(M24)=UPPER('Race Results'!F9),2,IF(UPPER(M24)=UPPER('Race Results'!G9),1,0)))))))</f>
        <v/>
      </c>
      <c r="O24" s="26">
        <f t="shared" si="0"/>
        <v>0</v>
      </c>
    </row>
    <row r="25" spans="1:15" ht="15.6" x14ac:dyDescent="0.3">
      <c r="A25" s="12">
        <v>22</v>
      </c>
      <c r="B25" s="13"/>
      <c r="C25" s="12"/>
      <c r="D25" s="25" t="str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/>
      </c>
      <c r="E25" s="12"/>
      <c r="F25" s="25" t="str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/>
      </c>
      <c r="G25" s="12"/>
      <c r="H25" s="25" t="str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/>
      </c>
      <c r="I25" s="12"/>
      <c r="J25" s="25" t="str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/>
      </c>
      <c r="K25" s="12"/>
      <c r="L25" s="25" t="str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/>
      </c>
      <c r="M25" s="12"/>
      <c r="N25" s="25" t="str">
        <f>IF(M25="","",IF(UPPER(M25)=UPPER('Race Results'!B9),10,IF(UPPER(M25)=UPPER('Race Results'!C9),6,IF(UPPER(M25)=UPPER('Race Results'!D9),4,IF(UPPER(M25)=UPPER('Race Results'!E9),3,IF(UPPER(M25)=UPPER('Race Results'!F9),2,IF(UPPER(M25)=UPPER('Race Results'!G9),1,0)))))))</f>
        <v/>
      </c>
      <c r="O25" s="26">
        <f t="shared" si="0"/>
        <v>0</v>
      </c>
    </row>
    <row r="26" spans="1:15" ht="15.6" x14ac:dyDescent="0.3">
      <c r="A26" s="23">
        <v>23</v>
      </c>
      <c r="B26" s="24"/>
      <c r="C26" s="23"/>
      <c r="D26" s="25" t="str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/>
      </c>
      <c r="E26" s="23"/>
      <c r="F26" s="25" t="str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/>
      </c>
      <c r="G26" s="23"/>
      <c r="H26" s="25" t="str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/>
      </c>
      <c r="I26" s="23"/>
      <c r="J26" s="25" t="str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/>
      </c>
      <c r="K26" s="23"/>
      <c r="L26" s="25" t="str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/>
      </c>
      <c r="M26" s="23"/>
      <c r="N26" s="25" t="str">
        <f>IF(M26="","",IF(UPPER(M26)=UPPER('Race Results'!B9),10,IF(UPPER(M26)=UPPER('Race Results'!C9),6,IF(UPPER(M26)=UPPER('Race Results'!D9),4,IF(UPPER(M26)=UPPER('Race Results'!E9),3,IF(UPPER(M26)=UPPER('Race Results'!F9),2,IF(UPPER(M26)=UPPER('Race Results'!G9),1,0)))))))</f>
        <v/>
      </c>
      <c r="O26" s="26">
        <f t="shared" si="0"/>
        <v>0</v>
      </c>
    </row>
    <row r="27" spans="1:15" ht="15.6" x14ac:dyDescent="0.3">
      <c r="A27" s="12">
        <v>24</v>
      </c>
      <c r="B27" s="13"/>
      <c r="C27" s="12"/>
      <c r="D27" s="25" t="str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/>
      </c>
      <c r="E27" s="12"/>
      <c r="F27" s="25" t="str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/>
      </c>
      <c r="G27" s="12"/>
      <c r="H27" s="25" t="str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/>
      </c>
      <c r="I27" s="12"/>
      <c r="J27" s="25" t="str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/>
      </c>
      <c r="K27" s="12"/>
      <c r="L27" s="25" t="str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/>
      </c>
      <c r="M27" s="12"/>
      <c r="N27" s="25" t="str">
        <f>IF(M27="","",IF(UPPER(M27)=UPPER('Race Results'!B9),10,IF(UPPER(M27)=UPPER('Race Results'!C9),6,IF(UPPER(M27)=UPPER('Race Results'!D9),4,IF(UPPER(M27)=UPPER('Race Results'!E9),3,IF(UPPER(M27)=UPPER('Race Results'!F9),2,IF(UPPER(M27)=UPPER('Race Results'!G9),1,0)))))))</f>
        <v/>
      </c>
      <c r="O27" s="26">
        <f t="shared" si="0"/>
        <v>0</v>
      </c>
    </row>
    <row r="28" spans="1:15" ht="15.6" x14ac:dyDescent="0.3">
      <c r="A28" s="23">
        <v>25</v>
      </c>
      <c r="B28" s="24"/>
      <c r="C28" s="23"/>
      <c r="D28" s="25" t="str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/>
      </c>
      <c r="E28" s="23"/>
      <c r="F28" s="25" t="str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/>
      </c>
      <c r="G28" s="23"/>
      <c r="H28" s="25" t="str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/>
      </c>
      <c r="I28" s="23"/>
      <c r="J28" s="25" t="str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/>
      </c>
      <c r="K28" s="23"/>
      <c r="L28" s="25" t="str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/>
      </c>
      <c r="M28" s="23"/>
      <c r="N28" s="25" t="str">
        <f>IF(M28="","",IF(UPPER(M28)=UPPER('Race Results'!B9),10,IF(UPPER(M28)=UPPER('Race Results'!C9),6,IF(UPPER(M28)=UPPER('Race Results'!D9),4,IF(UPPER(M28)=UPPER('Race Results'!E9),3,IF(UPPER(M28)=UPPER('Race Results'!F9),2,IF(UPPER(M28)=UPPER('Race Results'!G9),1,0)))))))</f>
        <v/>
      </c>
      <c r="O28" s="26">
        <f t="shared" si="0"/>
        <v>0</v>
      </c>
    </row>
    <row r="29" spans="1:15" ht="15.6" x14ac:dyDescent="0.3">
      <c r="A29" s="12">
        <v>26</v>
      </c>
      <c r="B29" s="13"/>
      <c r="C29" s="12"/>
      <c r="D29" s="25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12"/>
      <c r="F29" s="25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12"/>
      <c r="H29" s="25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12"/>
      <c r="J29" s="25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12"/>
      <c r="L29" s="25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2"/>
      <c r="N29" s="25" t="str">
        <f>IF(M29="","",IF(UPPER(M29)=UPPER('Race Results'!B9),10,IF(UPPER(M29)=UPPER('Race Results'!C9),6,IF(UPPER(M29)=UPPER('Race Results'!D9),4,IF(UPPER(M29)=UPPER('Race Results'!E9),3,IF(UPPER(M29)=UPPER('Race Results'!F9),2,IF(UPPER(M29)=UPPER('Race Results'!G9),1,0)))))))</f>
        <v/>
      </c>
      <c r="O29" s="26">
        <f t="shared" si="0"/>
        <v>0</v>
      </c>
    </row>
    <row r="30" spans="1:15" ht="15.6" x14ac:dyDescent="0.3">
      <c r="A30" s="23">
        <v>27</v>
      </c>
      <c r="B30" s="24"/>
      <c r="C30" s="23"/>
      <c r="D30" s="25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23"/>
      <c r="F30" s="25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23"/>
      <c r="H30" s="25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23"/>
      <c r="J30" s="25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23"/>
      <c r="L30" s="25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23"/>
      <c r="N30" s="25" t="str">
        <f>IF(M30="","",IF(UPPER(M30)=UPPER('Race Results'!B9),10,IF(UPPER(M30)=UPPER('Race Results'!C9),6,IF(UPPER(M30)=UPPER('Race Results'!D9),4,IF(UPPER(M30)=UPPER('Race Results'!E9),3,IF(UPPER(M30)=UPPER('Race Results'!F9),2,IF(UPPER(M30)=UPPER('Race Results'!G9),1,0)))))))</f>
        <v/>
      </c>
      <c r="O30" s="26">
        <f t="shared" si="0"/>
        <v>0</v>
      </c>
    </row>
    <row r="31" spans="1:15" ht="15.6" x14ac:dyDescent="0.3">
      <c r="A31" s="12">
        <v>28</v>
      </c>
      <c r="B31" s="13"/>
      <c r="C31" s="12"/>
      <c r="D31" s="25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12"/>
      <c r="F31" s="25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12"/>
      <c r="H31" s="25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12"/>
      <c r="J31" s="25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12"/>
      <c r="L31" s="25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2"/>
      <c r="N31" s="25" t="str">
        <f>IF(M31="","",IF(UPPER(M31)=UPPER('Race Results'!B9),10,IF(UPPER(M31)=UPPER('Race Results'!C9),6,IF(UPPER(M31)=UPPER('Race Results'!D9),4,IF(UPPER(M31)=UPPER('Race Results'!E9),3,IF(UPPER(M31)=UPPER('Race Results'!F9),2,IF(UPPER(M31)=UPPER('Race Results'!G9),1,0)))))))</f>
        <v/>
      </c>
      <c r="O31" s="26">
        <f t="shared" si="0"/>
        <v>0</v>
      </c>
    </row>
    <row r="32" spans="1:15" ht="15.6" x14ac:dyDescent="0.3">
      <c r="A32" s="23">
        <v>29</v>
      </c>
      <c r="B32" s="24"/>
      <c r="C32" s="23"/>
      <c r="D32" s="25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23"/>
      <c r="F32" s="25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23"/>
      <c r="H32" s="25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23"/>
      <c r="J32" s="25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23"/>
      <c r="L32" s="25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23"/>
      <c r="N32" s="25" t="str">
        <f>IF(M32="","",IF(UPPER(M32)=UPPER('Race Results'!B9),10,IF(UPPER(M32)=UPPER('Race Results'!C9),6,IF(UPPER(M32)=UPPER('Race Results'!D9),4,IF(UPPER(M32)=UPPER('Race Results'!E9),3,IF(UPPER(M32)=UPPER('Race Results'!F9),2,IF(UPPER(M32)=UPPER('Race Results'!G9),1,0)))))))</f>
        <v/>
      </c>
      <c r="O32" s="26">
        <f t="shared" si="0"/>
        <v>0</v>
      </c>
    </row>
    <row r="33" spans="1:15" ht="15.6" x14ac:dyDescent="0.3">
      <c r="A33" s="12">
        <v>30</v>
      </c>
      <c r="B33" s="13"/>
      <c r="C33" s="12"/>
      <c r="D33" s="25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12"/>
      <c r="F33" s="25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12"/>
      <c r="H33" s="25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12"/>
      <c r="J33" s="25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12"/>
      <c r="L33" s="25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2"/>
      <c r="N33" s="25" t="str">
        <f>IF(M33="","",IF(UPPER(M33)=UPPER('Race Results'!B9),10,IF(UPPER(M33)=UPPER('Race Results'!C9),6,IF(UPPER(M33)=UPPER('Race Results'!D9),4,IF(UPPER(M33)=UPPER('Race Results'!E9),3,IF(UPPER(M33)=UPPER('Race Results'!F9),2,IF(UPPER(M33)=UPPER('Race Results'!G9),1,0)))))))</f>
        <v/>
      </c>
      <c r="O33" s="26">
        <f t="shared" si="0"/>
        <v>0</v>
      </c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Card'!$B$4:$B$33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Card'!$C$4:$C$33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Card'!$D$4:$D$33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Card'!$E$4:$E$33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Card'!$F$4:$F$33</xm:f>
          </x14:formula1>
          <x14:formula2>
            <xm:f>0</xm:f>
          </x14:formula2>
          <xm:sqref>K4:K33</xm:sqref>
        </x14:dataValidation>
        <x14:dataValidation type="list" allowBlank="1" showInputMessage="1" promptTitle="Hampton Court" prompt="Select horse for Hampton Court" xr:uid="{00000000-0002-0000-0300-000006000000}">
          <x14:formula1>
            <xm:f>'Race Card'!$G$4:$G$33</xm:f>
          </x14:formula1>
          <x14:formula2>
            <xm:f>0</xm:f>
          </x14:formula2>
          <xm:sqref>M4:M33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/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2" t="s">
        <v>32</v>
      </c>
      <c r="B1" s="2"/>
      <c r="C1" s="2"/>
      <c r="D1" s="2"/>
    </row>
    <row r="2" spans="1:4" x14ac:dyDescent="0.3">
      <c r="A2" s="20" t="s">
        <v>33</v>
      </c>
      <c r="B2" s="20" t="s">
        <v>34</v>
      </c>
      <c r="C2" s="20" t="s">
        <v>35</v>
      </c>
      <c r="D2" s="20" t="s">
        <v>36</v>
      </c>
    </row>
    <row r="3" spans="1:4" ht="18" x14ac:dyDescent="0.3">
      <c r="A3" s="27">
        <v>1</v>
      </c>
      <c r="B3" s="28">
        <f>IFERROR(INDEX('Picks &amp; Scores'!$B$4:$B$33,MATCH(LARGE('Picks &amp; Scores'!$O$4:$O$33,1),'Picks &amp; Scores'!$O$4:$O$33,0)),"")</f>
        <v>0</v>
      </c>
      <c r="C3" s="29">
        <f>IFERROR(LARGE('Picks &amp; Scores'!$O$4:$O$33,1),"")</f>
        <v>0</v>
      </c>
      <c r="D3" s="30">
        <f ca="1">IFERROR(COUNTIF(OFFSET('Picks &amp; Scores'!$D$4:$N$33,MATCH(C3,'Picks &amp; Scores'!$O$4:$O$33,0)-1,0,1,11),10),"")</f>
        <v>0</v>
      </c>
    </row>
    <row r="4" spans="1:4" ht="18" x14ac:dyDescent="0.3">
      <c r="A4" s="27">
        <v>2</v>
      </c>
      <c r="B4" s="28">
        <f>IFERROR(INDEX('Picks &amp; Scores'!$B$4:$B$33,MATCH(LARGE('Picks &amp; Scores'!$O$4:$O$33,2),'Picks &amp; Scores'!$O$4:$O$33,0)),"")</f>
        <v>0</v>
      </c>
      <c r="C4" s="29">
        <f>IFERROR(LARGE('Picks &amp; Scores'!$O$4:$O$33,2),"")</f>
        <v>0</v>
      </c>
      <c r="D4" s="30">
        <f ca="1">IFERROR(COUNTIF(OFFSET('Picks &amp; Scores'!$D$4:$N$33,MATCH(C4,'Picks &amp; Scores'!$O$4:$O$33,0)-1,0,1,11),10),"")</f>
        <v>0</v>
      </c>
    </row>
    <row r="5" spans="1:4" ht="18" x14ac:dyDescent="0.3">
      <c r="A5" s="27">
        <v>3</v>
      </c>
      <c r="B5" s="28">
        <f>IFERROR(INDEX('Picks &amp; Scores'!$B$4:$B$33,MATCH(LARGE('Picks &amp; Scores'!$O$4:$O$33,3),'Picks &amp; Scores'!$O$4:$O$33,0)),"")</f>
        <v>0</v>
      </c>
      <c r="C5" s="29">
        <f>IFERROR(LARGE('Picks &amp; Scores'!$O$4:$O$33,3),"")</f>
        <v>0</v>
      </c>
      <c r="D5" s="30">
        <f ca="1">IFERROR(COUNTIF(OFFSET('Picks &amp; Scores'!$D$4:$N$33,MATCH(C5,'Picks &amp; Scores'!$O$4:$O$33,0)-1,0,1,11),10),"")</f>
        <v>0</v>
      </c>
    </row>
    <row r="6" spans="1:4" ht="18" x14ac:dyDescent="0.3">
      <c r="A6" s="31">
        <v>4</v>
      </c>
      <c r="B6" s="32">
        <f>IFERROR(INDEX('Picks &amp; Scores'!$B$4:$B$33,MATCH(LARGE('Picks &amp; Scores'!$O$4:$O$33,4),'Picks &amp; Scores'!$O$4:$O$33,0)),"")</f>
        <v>0</v>
      </c>
      <c r="C6" s="33">
        <f>IFERROR(LARGE('Picks &amp; Scores'!$O$4:$O$33,4),"")</f>
        <v>0</v>
      </c>
      <c r="D6" s="34">
        <f ca="1">IFERROR(COUNTIF(OFFSET('Picks &amp; Scores'!$D$4:$N$33,MATCH(C6,'Picks &amp; Scores'!$O$4:$O$33,0)-1,0,1,11),10),"")</f>
        <v>0</v>
      </c>
    </row>
    <row r="7" spans="1:4" ht="18" x14ac:dyDescent="0.3">
      <c r="A7" s="35">
        <v>5</v>
      </c>
      <c r="B7" s="36">
        <f>IFERROR(INDEX('Picks &amp; Scores'!$B$4:$B$33,MATCH(LARGE('Picks &amp; Scores'!$O$4:$O$33,5),'Picks &amp; Scores'!$O$4:$O$33,0)),"")</f>
        <v>0</v>
      </c>
      <c r="C7" s="37">
        <f>IFERROR(LARGE('Picks &amp; Scores'!$O$4:$O$33,5),"")</f>
        <v>0</v>
      </c>
      <c r="D7" s="38">
        <f ca="1">IFERROR(COUNTIF(OFFSET('Picks &amp; Scores'!$D$4:$N$33,MATCH(C7,'Picks &amp; Scores'!$O$4:$O$33,0)-1,0,1,11),10),"")</f>
        <v>0</v>
      </c>
    </row>
    <row r="8" spans="1:4" ht="18" x14ac:dyDescent="0.3">
      <c r="A8" s="31">
        <v>6</v>
      </c>
      <c r="B8" s="32">
        <f>IFERROR(INDEX('Picks &amp; Scores'!$B$4:$B$33,MATCH(LARGE('Picks &amp; Scores'!$O$4:$O$33,6),'Picks &amp; Scores'!$O$4:$O$33,0)),"")</f>
        <v>0</v>
      </c>
      <c r="C8" s="33">
        <f>IFERROR(LARGE('Picks &amp; Scores'!$O$4:$O$33,6),"")</f>
        <v>0</v>
      </c>
      <c r="D8" s="34">
        <f ca="1">IFERROR(COUNTIF(OFFSET('Picks &amp; Scores'!$D$4:$N$33,MATCH(C8,'Picks &amp; Scores'!$O$4:$O$33,0)-1,0,1,11),10),"")</f>
        <v>0</v>
      </c>
    </row>
    <row r="9" spans="1:4" ht="18" x14ac:dyDescent="0.3">
      <c r="A9" s="35">
        <v>7</v>
      </c>
      <c r="B9" s="36">
        <f>IFERROR(INDEX('Picks &amp; Scores'!$B$4:$B$33,MATCH(LARGE('Picks &amp; Scores'!$O$4:$O$33,7),'Picks &amp; Scores'!$O$4:$O$33,0)),"")</f>
        <v>0</v>
      </c>
      <c r="C9" s="37">
        <f>IFERROR(LARGE('Picks &amp; Scores'!$O$4:$O$33,7),"")</f>
        <v>0</v>
      </c>
      <c r="D9" s="38">
        <f ca="1">IFERROR(COUNTIF(OFFSET('Picks &amp; Scores'!$D$4:$N$33,MATCH(C9,'Picks &amp; Scores'!$O$4:$O$33,0)-1,0,1,11),10),"")</f>
        <v>0</v>
      </c>
    </row>
    <row r="10" spans="1:4" ht="18" x14ac:dyDescent="0.3">
      <c r="A10" s="31">
        <v>8</v>
      </c>
      <c r="B10" s="32">
        <f>IFERROR(INDEX('Picks &amp; Scores'!$B$4:$B$33,MATCH(LARGE('Picks &amp; Scores'!$O$4:$O$33,8),'Picks &amp; Scores'!$O$4:$O$33,0)),"")</f>
        <v>0</v>
      </c>
      <c r="C10" s="33">
        <f>IFERROR(LARGE('Picks &amp; Scores'!$O$4:$O$33,8),"")</f>
        <v>0</v>
      </c>
      <c r="D10" s="34">
        <f ca="1">IFERROR(COUNTIF(OFFSET('Picks &amp; Scores'!$D$4:$N$33,MATCH(C10,'Picks &amp; Scores'!$O$4:$O$33,0)-1,0,1,11),10),"")</f>
        <v>0</v>
      </c>
    </row>
    <row r="11" spans="1:4" ht="18" x14ac:dyDescent="0.3">
      <c r="A11" s="35">
        <v>9</v>
      </c>
      <c r="B11" s="36">
        <f>IFERROR(INDEX('Picks &amp; Scores'!$B$4:$B$33,MATCH(LARGE('Picks &amp; Scores'!$O$4:$O$33,9),'Picks &amp; Scores'!$O$4:$O$33,0)),"")</f>
        <v>0</v>
      </c>
      <c r="C11" s="37">
        <f>IFERROR(LARGE('Picks &amp; Scores'!$O$4:$O$33,9),"")</f>
        <v>0</v>
      </c>
      <c r="D11" s="38">
        <f ca="1">IFERROR(COUNTIF(OFFSET('Picks &amp; Scores'!$D$4:$N$33,MATCH(C11,'Picks &amp; Scores'!$O$4:$O$33,0)-1,0,1,11),10),"")</f>
        <v>0</v>
      </c>
    </row>
    <row r="12" spans="1:4" ht="18" x14ac:dyDescent="0.3">
      <c r="A12" s="31">
        <v>10</v>
      </c>
      <c r="B12" s="32">
        <f>IFERROR(INDEX('Picks &amp; Scores'!$B$4:$B$33,MATCH(LARGE('Picks &amp; Scores'!$O$4:$O$33,10),'Picks &amp; Scores'!$O$4:$O$33,0)),"")</f>
        <v>0</v>
      </c>
      <c r="C12" s="33">
        <f>IFERROR(LARGE('Picks &amp; Scores'!$O$4:$O$33,10),"")</f>
        <v>0</v>
      </c>
      <c r="D12" s="34">
        <f ca="1">IFERROR(COUNTIF(OFFSET('Picks &amp; Scores'!$D$4:$N$33,MATCH(C12,'Picks &amp; Scores'!$O$4:$O$33,0)-1,0,1,11),10),"")</f>
        <v>0</v>
      </c>
    </row>
    <row r="13" spans="1:4" ht="18" x14ac:dyDescent="0.3">
      <c r="A13" s="35">
        <v>11</v>
      </c>
      <c r="B13" s="36">
        <f>IFERROR(INDEX('Picks &amp; Scores'!$B$4:$B$33,MATCH(LARGE('Picks &amp; Scores'!$O$4:$O$33,11),'Picks &amp; Scores'!$O$4:$O$33,0)),"")</f>
        <v>0</v>
      </c>
      <c r="C13" s="37">
        <f>IFERROR(LARGE('Picks &amp; Scores'!$O$4:$O$33,11),"")</f>
        <v>0</v>
      </c>
      <c r="D13" s="38">
        <f ca="1">IFERROR(COUNTIF(OFFSET('Picks &amp; Scores'!$D$4:$N$33,MATCH(C13,'Picks &amp; Scores'!$O$4:$O$33,0)-1,0,1,11),10),"")</f>
        <v>0</v>
      </c>
    </row>
    <row r="14" spans="1:4" ht="18" x14ac:dyDescent="0.3">
      <c r="A14" s="31">
        <v>12</v>
      </c>
      <c r="B14" s="32">
        <f>IFERROR(INDEX('Picks &amp; Scores'!$B$4:$B$33,MATCH(LARGE('Picks &amp; Scores'!$O$4:$O$33,12),'Picks &amp; Scores'!$O$4:$O$33,0)),"")</f>
        <v>0</v>
      </c>
      <c r="C14" s="33">
        <f>IFERROR(LARGE('Picks &amp; Scores'!$O$4:$O$33,12),"")</f>
        <v>0</v>
      </c>
      <c r="D14" s="34">
        <f ca="1">IFERROR(COUNTIF(OFFSET('Picks &amp; Scores'!$D$4:$N$33,MATCH(C14,'Picks &amp; Scores'!$O$4:$O$33,0)-1,0,1,11),10),"")</f>
        <v>0</v>
      </c>
    </row>
    <row r="15" spans="1:4" ht="18" x14ac:dyDescent="0.3">
      <c r="A15" s="35">
        <v>13</v>
      </c>
      <c r="B15" s="36">
        <f>IFERROR(INDEX('Picks &amp; Scores'!$B$4:$B$33,MATCH(LARGE('Picks &amp; Scores'!$O$4:$O$33,13),'Picks &amp; Scores'!$O$4:$O$33,0)),"")</f>
        <v>0</v>
      </c>
      <c r="C15" s="37">
        <f>IFERROR(LARGE('Picks &amp; Scores'!$O$4:$O$33,13),"")</f>
        <v>0</v>
      </c>
      <c r="D15" s="38">
        <f ca="1">IFERROR(COUNTIF(OFFSET('Picks &amp; Scores'!$D$4:$N$33,MATCH(C15,'Picks &amp; Scores'!$O$4:$O$33,0)-1,0,1,11),10),"")</f>
        <v>0</v>
      </c>
    </row>
    <row r="16" spans="1:4" ht="18" x14ac:dyDescent="0.3">
      <c r="A16" s="31">
        <v>14</v>
      </c>
      <c r="B16" s="32">
        <f>IFERROR(INDEX('Picks &amp; Scores'!$B$4:$B$33,MATCH(LARGE('Picks &amp; Scores'!$O$4:$O$33,14),'Picks &amp; Scores'!$O$4:$O$33,0)),"")</f>
        <v>0</v>
      </c>
      <c r="C16" s="33">
        <f>IFERROR(LARGE('Picks &amp; Scores'!$O$4:$O$33,14),"")</f>
        <v>0</v>
      </c>
      <c r="D16" s="34">
        <f ca="1">IFERROR(COUNTIF(OFFSET('Picks &amp; Scores'!$D$4:$N$33,MATCH(C16,'Picks &amp; Scores'!$O$4:$O$33,0)-1,0,1,11),10),"")</f>
        <v>0</v>
      </c>
    </row>
    <row r="17" spans="1:4" ht="18" x14ac:dyDescent="0.3">
      <c r="A17" s="35">
        <v>15</v>
      </c>
      <c r="B17" s="36">
        <f>IFERROR(INDEX('Picks &amp; Scores'!$B$4:$B$33,MATCH(LARGE('Picks &amp; Scores'!$O$4:$O$33,15),'Picks &amp; Scores'!$O$4:$O$33,0)),"")</f>
        <v>0</v>
      </c>
      <c r="C17" s="37">
        <f>IFERROR(LARGE('Picks &amp; Scores'!$O$4:$O$33,15),"")</f>
        <v>0</v>
      </c>
      <c r="D17" s="38">
        <f ca="1">IFERROR(COUNTIF(OFFSET('Picks &amp; Scores'!$D$4:$N$33,MATCH(C17,'Picks &amp; Scores'!$O$4:$O$33,0)-1,0,1,11),10),"")</f>
        <v>0</v>
      </c>
    </row>
    <row r="18" spans="1:4" ht="18" x14ac:dyDescent="0.3">
      <c r="A18" s="31">
        <v>16</v>
      </c>
      <c r="B18" s="32">
        <f>IFERROR(INDEX('Picks &amp; Scores'!$B$4:$B$33,MATCH(LARGE('Picks &amp; Scores'!$O$4:$O$33,16),'Picks &amp; Scores'!$O$4:$O$33,0)),"")</f>
        <v>0</v>
      </c>
      <c r="C18" s="33">
        <f>IFERROR(LARGE('Picks &amp; Scores'!$O$4:$O$33,16),"")</f>
        <v>0</v>
      </c>
      <c r="D18" s="34">
        <f ca="1">IFERROR(COUNTIF(OFFSET('Picks &amp; Scores'!$D$4:$N$33,MATCH(C18,'Picks &amp; Scores'!$O$4:$O$33,0)-1,0,1,11),10),"")</f>
        <v>0</v>
      </c>
    </row>
    <row r="19" spans="1:4" ht="18" x14ac:dyDescent="0.3">
      <c r="A19" s="35">
        <v>17</v>
      </c>
      <c r="B19" s="36">
        <f>IFERROR(INDEX('Picks &amp; Scores'!$B$4:$B$33,MATCH(LARGE('Picks &amp; Scores'!$O$4:$O$33,17),'Picks &amp; Scores'!$O$4:$O$33,0)),"")</f>
        <v>0</v>
      </c>
      <c r="C19" s="37">
        <f>IFERROR(LARGE('Picks &amp; Scores'!$O$4:$O$33,17),"")</f>
        <v>0</v>
      </c>
      <c r="D19" s="38">
        <f ca="1">IFERROR(COUNTIF(OFFSET('Picks &amp; Scores'!$D$4:$N$33,MATCH(C19,'Picks &amp; Scores'!$O$4:$O$33,0)-1,0,1,11),10),"")</f>
        <v>0</v>
      </c>
    </row>
    <row r="20" spans="1:4" ht="18" x14ac:dyDescent="0.3">
      <c r="A20" s="31">
        <v>18</v>
      </c>
      <c r="B20" s="32">
        <f>IFERROR(INDEX('Picks &amp; Scores'!$B$4:$B$33,MATCH(LARGE('Picks &amp; Scores'!$O$4:$O$33,18),'Picks &amp; Scores'!$O$4:$O$33,0)),"")</f>
        <v>0</v>
      </c>
      <c r="C20" s="33">
        <f>IFERROR(LARGE('Picks &amp; Scores'!$O$4:$O$33,18),"")</f>
        <v>0</v>
      </c>
      <c r="D20" s="34">
        <f ca="1">IFERROR(COUNTIF(OFFSET('Picks &amp; Scores'!$D$4:$N$33,MATCH(C20,'Picks &amp; Scores'!$O$4:$O$33,0)-1,0,1,11),10),"")</f>
        <v>0</v>
      </c>
    </row>
    <row r="21" spans="1:4" ht="18" x14ac:dyDescent="0.3">
      <c r="A21" s="35">
        <v>19</v>
      </c>
      <c r="B21" s="36">
        <f>IFERROR(INDEX('Picks &amp; Scores'!$B$4:$B$33,MATCH(LARGE('Picks &amp; Scores'!$O$4:$O$33,19),'Picks &amp; Scores'!$O$4:$O$33,0)),"")</f>
        <v>0</v>
      </c>
      <c r="C21" s="37">
        <f>IFERROR(LARGE('Picks &amp; Scores'!$O$4:$O$33,19),"")</f>
        <v>0</v>
      </c>
      <c r="D21" s="38">
        <f ca="1">IFERROR(COUNTIF(OFFSET('Picks &amp; Scores'!$D$4:$N$33,MATCH(C21,'Picks &amp; Scores'!$O$4:$O$33,0)-1,0,1,11),10),"")</f>
        <v>0</v>
      </c>
    </row>
    <row r="22" spans="1:4" ht="18" x14ac:dyDescent="0.3">
      <c r="A22" s="31">
        <v>20</v>
      </c>
      <c r="B22" s="32">
        <f>IFERROR(INDEX('Picks &amp; Scores'!$B$4:$B$33,MATCH(LARGE('Picks &amp; Scores'!$O$4:$O$33,20),'Picks &amp; Scores'!$O$4:$O$33,0)),"")</f>
        <v>0</v>
      </c>
      <c r="C22" s="33">
        <f>IFERROR(LARGE('Picks &amp; Scores'!$O$4:$O$33,20),"")</f>
        <v>0</v>
      </c>
      <c r="D22" s="34">
        <f ca="1">IFERROR(COUNTIF(OFFSET('Picks &amp; Scores'!$D$4:$N$33,MATCH(C22,'Picks &amp; Scores'!$O$4:$O$33,0)-1,0,1,11),10),"")</f>
        <v>0</v>
      </c>
    </row>
    <row r="23" spans="1:4" ht="18" x14ac:dyDescent="0.3">
      <c r="A23" s="35">
        <v>21</v>
      </c>
      <c r="B23" s="36">
        <f>IFERROR(INDEX('Picks &amp; Scores'!$B$4:$B$33,MATCH(LARGE('Picks &amp; Scores'!$O$4:$O$33,21),'Picks &amp; Scores'!$O$4:$O$33,0)),"")</f>
        <v>0</v>
      </c>
      <c r="C23" s="37">
        <f>IFERROR(LARGE('Picks &amp; Scores'!$O$4:$O$33,21),"")</f>
        <v>0</v>
      </c>
      <c r="D23" s="38">
        <f ca="1">IFERROR(COUNTIF(OFFSET('Picks &amp; Scores'!$D$4:$N$33,MATCH(C23,'Picks &amp; Scores'!$O$4:$O$33,0)-1,0,1,11),10),"")</f>
        <v>0</v>
      </c>
    </row>
    <row r="24" spans="1:4" ht="18" x14ac:dyDescent="0.3">
      <c r="A24" s="31">
        <v>22</v>
      </c>
      <c r="B24" s="32">
        <f>IFERROR(INDEX('Picks &amp; Scores'!$B$4:$B$33,MATCH(LARGE('Picks &amp; Scores'!$O$4:$O$33,22),'Picks &amp; Scores'!$O$4:$O$33,0)),"")</f>
        <v>0</v>
      </c>
      <c r="C24" s="33">
        <f>IFERROR(LARGE('Picks &amp; Scores'!$O$4:$O$33,22),"")</f>
        <v>0</v>
      </c>
      <c r="D24" s="34">
        <f ca="1">IFERROR(COUNTIF(OFFSET('Picks &amp; Scores'!$D$4:$N$33,MATCH(C24,'Picks &amp; Scores'!$O$4:$O$33,0)-1,0,1,11),10),"")</f>
        <v>0</v>
      </c>
    </row>
    <row r="25" spans="1:4" ht="18" x14ac:dyDescent="0.3">
      <c r="A25" s="35">
        <v>23</v>
      </c>
      <c r="B25" s="36">
        <f>IFERROR(INDEX('Picks &amp; Scores'!$B$4:$B$33,MATCH(LARGE('Picks &amp; Scores'!$O$4:$O$33,23),'Picks &amp; Scores'!$O$4:$O$33,0)),"")</f>
        <v>0</v>
      </c>
      <c r="C25" s="37">
        <f>IFERROR(LARGE('Picks &amp; Scores'!$O$4:$O$33,23),"")</f>
        <v>0</v>
      </c>
      <c r="D25" s="38">
        <f ca="1">IFERROR(COUNTIF(OFFSET('Picks &amp; Scores'!$D$4:$N$33,MATCH(C25,'Picks &amp; Scores'!$O$4:$O$33,0)-1,0,1,11),10),"")</f>
        <v>0</v>
      </c>
    </row>
    <row r="26" spans="1:4" ht="18" x14ac:dyDescent="0.3">
      <c r="A26" s="31">
        <v>24</v>
      </c>
      <c r="B26" s="32">
        <f>IFERROR(INDEX('Picks &amp; Scores'!$B$4:$B$33,MATCH(LARGE('Picks &amp; Scores'!$O$4:$O$33,24),'Picks &amp; Scores'!$O$4:$O$33,0)),"")</f>
        <v>0</v>
      </c>
      <c r="C26" s="33">
        <f>IFERROR(LARGE('Picks &amp; Scores'!$O$4:$O$33,24),"")</f>
        <v>0</v>
      </c>
      <c r="D26" s="34">
        <f ca="1">IFERROR(COUNTIF(OFFSET('Picks &amp; Scores'!$D$4:$N$33,MATCH(C26,'Picks &amp; Scores'!$O$4:$O$33,0)-1,0,1,11),10),"")</f>
        <v>0</v>
      </c>
    </row>
    <row r="27" spans="1:4" ht="18" x14ac:dyDescent="0.3">
      <c r="A27" s="35">
        <v>25</v>
      </c>
      <c r="B27" s="36">
        <f>IFERROR(INDEX('Picks &amp; Scores'!$B$4:$B$33,MATCH(LARGE('Picks &amp; Scores'!$O$4:$O$33,25),'Picks &amp; Scores'!$O$4:$O$33,0)),"")</f>
        <v>0</v>
      </c>
      <c r="C27" s="37">
        <f>IFERROR(LARGE('Picks &amp; Scores'!$O$4:$O$33,25),"")</f>
        <v>0</v>
      </c>
      <c r="D27" s="38">
        <f ca="1">IFERROR(COUNTIF(OFFSET('Picks &amp; Scores'!$D$4:$N$33,MATCH(C27,'Picks &amp; Scores'!$O$4:$O$33,0)-1,0,1,11),10),"")</f>
        <v>0</v>
      </c>
    </row>
    <row r="28" spans="1:4" ht="18" x14ac:dyDescent="0.3">
      <c r="A28" s="31">
        <v>26</v>
      </c>
      <c r="B28" s="32">
        <f>IFERROR(INDEX('Picks &amp; Scores'!$B$4:$B$33,MATCH(LARGE('Picks &amp; Scores'!$O$4:$O$33,26),'Picks &amp; Scores'!$O$4:$O$33,0)),"")</f>
        <v>0</v>
      </c>
      <c r="C28" s="33">
        <f>IFERROR(LARGE('Picks &amp; Scores'!$O$4:$O$33,26),"")</f>
        <v>0</v>
      </c>
      <c r="D28" s="34">
        <f ca="1">IFERROR(COUNTIF(OFFSET('Picks &amp; Scores'!$D$4:$N$33,MATCH(C28,'Picks &amp; Scores'!$O$4:$O$33,0)-1,0,1,11),10),"")</f>
        <v>0</v>
      </c>
    </row>
    <row r="29" spans="1:4" ht="18" x14ac:dyDescent="0.3">
      <c r="A29" s="35">
        <v>27</v>
      </c>
      <c r="B29" s="36">
        <f>IFERROR(INDEX('Picks &amp; Scores'!$B$4:$B$33,MATCH(LARGE('Picks &amp; Scores'!$O$4:$O$33,27),'Picks &amp; Scores'!$O$4:$O$33,0)),"")</f>
        <v>0</v>
      </c>
      <c r="C29" s="37">
        <f>IFERROR(LARGE('Picks &amp; Scores'!$O$4:$O$33,27),"")</f>
        <v>0</v>
      </c>
      <c r="D29" s="38">
        <f ca="1">IFERROR(COUNTIF(OFFSET('Picks &amp; Scores'!$D$4:$N$33,MATCH(C29,'Picks &amp; Scores'!$O$4:$O$33,0)-1,0,1,11),10),"")</f>
        <v>0</v>
      </c>
    </row>
    <row r="30" spans="1:4" ht="18" x14ac:dyDescent="0.3">
      <c r="A30" s="31">
        <v>28</v>
      </c>
      <c r="B30" s="32">
        <f>IFERROR(INDEX('Picks &amp; Scores'!$B$4:$B$33,MATCH(LARGE('Picks &amp; Scores'!$O$4:$O$33,28),'Picks &amp; Scores'!$O$4:$O$33,0)),"")</f>
        <v>0</v>
      </c>
      <c r="C30" s="33">
        <f>IFERROR(LARGE('Picks &amp; Scores'!$O$4:$O$33,28),"")</f>
        <v>0</v>
      </c>
      <c r="D30" s="34">
        <f ca="1">IFERROR(COUNTIF(OFFSET('Picks &amp; Scores'!$D$4:$N$33,MATCH(C30,'Picks &amp; Scores'!$O$4:$O$33,0)-1,0,1,11),10),"")</f>
        <v>0</v>
      </c>
    </row>
    <row r="31" spans="1:4" ht="18" x14ac:dyDescent="0.3">
      <c r="A31" s="35">
        <v>29</v>
      </c>
      <c r="B31" s="36">
        <f>IFERROR(INDEX('Picks &amp; Scores'!$B$4:$B$33,MATCH(LARGE('Picks &amp; Scores'!$O$4:$O$33,29),'Picks &amp; Scores'!$O$4:$O$33,0)),"")</f>
        <v>0</v>
      </c>
      <c r="C31" s="37">
        <f>IFERROR(LARGE('Picks &amp; Scores'!$O$4:$O$33,29),"")</f>
        <v>0</v>
      </c>
      <c r="D31" s="38">
        <f ca="1">IFERROR(COUNTIF(OFFSET('Picks &amp; Scores'!$D$4:$N$33,MATCH(C31,'Picks &amp; Scores'!$O$4:$O$33,0)-1,0,1,11),10),"")</f>
        <v>0</v>
      </c>
    </row>
    <row r="32" spans="1:4" ht="18" x14ac:dyDescent="0.3">
      <c r="A32" s="31">
        <v>30</v>
      </c>
      <c r="B32" s="32">
        <f>IFERROR(INDEX('Picks &amp; Scores'!$B$4:$B$33,MATCH(LARGE('Picks &amp; Scores'!$O$4:$O$33,30),'Picks &amp; Scores'!$O$4:$O$33,0)),"")</f>
        <v>0</v>
      </c>
      <c r="C32" s="33">
        <f>IFERROR(LARGE('Picks &amp; Scores'!$O$4:$O$33,30),"")</f>
        <v>0</v>
      </c>
      <c r="D32" s="34">
        <f ca="1">IFERROR(COUNTIF(OFFSET('Picks &amp; Scores'!$D$4:$N$33,MATCH(C32,'Picks &amp; Scores'!$O$4:$O$33,0)-1,0,1,11),10),"")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/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8" t="s">
        <v>37</v>
      </c>
      <c r="B1" s="8"/>
      <c r="C1" s="8"/>
      <c r="D1" s="8"/>
      <c r="E1" s="8"/>
      <c r="F1" s="8"/>
    </row>
    <row r="3" spans="1:6" ht="17.399999999999999" x14ac:dyDescent="0.35">
      <c r="A3" s="1" t="s">
        <v>38</v>
      </c>
      <c r="B3" s="1"/>
      <c r="C3" s="1"/>
      <c r="D3" s="1"/>
      <c r="E3" s="1"/>
      <c r="F3" s="1"/>
    </row>
    <row r="4" spans="1:6" x14ac:dyDescent="0.3">
      <c r="A4" s="39" t="s">
        <v>39</v>
      </c>
    </row>
    <row r="5" spans="1:6" x14ac:dyDescent="0.3">
      <c r="A5" s="39" t="s">
        <v>40</v>
      </c>
    </row>
    <row r="6" spans="1:6" x14ac:dyDescent="0.3">
      <c r="A6" s="39" t="s">
        <v>41</v>
      </c>
    </row>
    <row r="8" spans="1:6" ht="17.399999999999999" x14ac:dyDescent="0.35">
      <c r="A8" s="1" t="s">
        <v>42</v>
      </c>
      <c r="B8" s="1"/>
      <c r="C8" s="1"/>
      <c r="D8" s="1"/>
      <c r="E8" s="1"/>
      <c r="F8" s="1"/>
    </row>
    <row r="9" spans="1:6" x14ac:dyDescent="0.3">
      <c r="A9" s="39" t="s">
        <v>43</v>
      </c>
    </row>
    <row r="10" spans="1:6" x14ac:dyDescent="0.3">
      <c r="A10" s="39" t="s">
        <v>44</v>
      </c>
    </row>
    <row r="11" spans="1:6" x14ac:dyDescent="0.3">
      <c r="A11" s="39" t="s">
        <v>45</v>
      </c>
    </row>
    <row r="12" spans="1:6" x14ac:dyDescent="0.3">
      <c r="A12" s="39" t="s">
        <v>46</v>
      </c>
    </row>
    <row r="13" spans="1:6" x14ac:dyDescent="0.3">
      <c r="A13" s="39" t="s">
        <v>47</v>
      </c>
    </row>
    <row r="14" spans="1:6" x14ac:dyDescent="0.3">
      <c r="A14" s="39" t="s">
        <v>48</v>
      </c>
    </row>
    <row r="15" spans="1:6" x14ac:dyDescent="0.3">
      <c r="A15" s="39" t="s">
        <v>49</v>
      </c>
    </row>
    <row r="17" spans="1:6" ht="17.399999999999999" x14ac:dyDescent="0.35">
      <c r="A17" s="1" t="s">
        <v>50</v>
      </c>
      <c r="B17" s="1"/>
      <c r="C17" s="1"/>
      <c r="D17" s="1"/>
      <c r="E17" s="1"/>
      <c r="F17" s="1"/>
    </row>
    <row r="18" spans="1:6" x14ac:dyDescent="0.3">
      <c r="A18" s="39" t="s">
        <v>51</v>
      </c>
    </row>
    <row r="19" spans="1:6" x14ac:dyDescent="0.3">
      <c r="A19" s="39" t="s">
        <v>52</v>
      </c>
    </row>
    <row r="20" spans="1:6" x14ac:dyDescent="0.3">
      <c r="A20" s="39" t="s">
        <v>53</v>
      </c>
    </row>
    <row r="21" spans="1:6" x14ac:dyDescent="0.3">
      <c r="A21" s="39" t="s">
        <v>54</v>
      </c>
    </row>
    <row r="22" spans="1:6" x14ac:dyDescent="0.3">
      <c r="A22" s="39" t="s">
        <v>55</v>
      </c>
    </row>
    <row r="23" spans="1:6" x14ac:dyDescent="0.3">
      <c r="A23" s="39" t="s">
        <v>56</v>
      </c>
    </row>
    <row r="24" spans="1:6" x14ac:dyDescent="0.3">
      <c r="A24" s="39" t="s">
        <v>57</v>
      </c>
    </row>
    <row r="25" spans="1:6" x14ac:dyDescent="0.3">
      <c r="A25" s="39" t="s">
        <v>58</v>
      </c>
    </row>
    <row r="27" spans="1:6" ht="17.399999999999999" x14ac:dyDescent="0.35">
      <c r="A27" s="1" t="s">
        <v>59</v>
      </c>
      <c r="B27" s="1"/>
      <c r="C27" s="1"/>
      <c r="D27" s="1"/>
      <c r="E27" s="1"/>
      <c r="F27" s="1"/>
    </row>
    <row r="28" spans="1:6" x14ac:dyDescent="0.3">
      <c r="A28" s="39" t="s">
        <v>60</v>
      </c>
    </row>
    <row r="29" spans="1:6" x14ac:dyDescent="0.3">
      <c r="A29" s="39" t="s">
        <v>61</v>
      </c>
    </row>
    <row r="30" spans="1:6" x14ac:dyDescent="0.3">
      <c r="A30" s="39" t="s">
        <v>62</v>
      </c>
    </row>
    <row r="31" spans="1:6" x14ac:dyDescent="0.3">
      <c r="A31" s="39" t="s">
        <v>63</v>
      </c>
    </row>
    <row r="32" spans="1:6" x14ac:dyDescent="0.3">
      <c r="A32" s="39" t="s">
        <v>64</v>
      </c>
    </row>
    <row r="33" spans="1:1" x14ac:dyDescent="0.3">
      <c r="A33" s="39" t="s">
        <v>65</v>
      </c>
    </row>
    <row r="35" spans="1:1" x14ac:dyDescent="0.3">
      <c r="A35" s="39" t="s">
        <v>66</v>
      </c>
    </row>
    <row r="37" spans="1:1" ht="17.399999999999999" x14ac:dyDescent="0.35">
      <c r="A37" s="40" t="s">
        <v>67</v>
      </c>
    </row>
    <row r="38" spans="1:1" x14ac:dyDescent="0.3">
      <c r="A38" s="39" t="s">
        <v>68</v>
      </c>
    </row>
    <row r="39" spans="1:1" x14ac:dyDescent="0.3">
      <c r="A39" s="39" t="s">
        <v>69</v>
      </c>
    </row>
    <row r="40" spans="1:1" x14ac:dyDescent="0.3">
      <c r="A40" s="39" t="s">
        <v>70</v>
      </c>
    </row>
    <row r="41" spans="1:1" x14ac:dyDescent="0.3">
      <c r="A41" s="39" t="s">
        <v>71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2026-05-28T10:36:49Z</dcterms:modified>
  <dc:language>en-US</dc:language>
</cp:coreProperties>
</file>