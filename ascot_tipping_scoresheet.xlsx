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564" documentId="13_ncr:1_{D69588C9-C99A-444E-8716-C3CC7EB9F9ED}" xr6:coauthVersionLast="47" xr6:coauthVersionMax="47" xr10:uidLastSave="{2DE502F1-73DA-4C34-BB7E-E5F0D80C7C4D}"/>
  <bookViews>
    <workbookView xWindow="-108" yWindow="-108" windowWidth="23256" windowHeight="12456" tabRatio="500" firstSheet="1" activeTab="3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2" i="4" l="1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2" i="4" l="1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5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<sst xmlns="http://schemas.openxmlformats.org/spreadsheetml/2006/main" count="348" uniqueCount="183">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</sst>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1" fillId="0" borderId="0" xfId="0" applyFont="1"/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7CB7C-1FFA-404F-AB60-D09A002544A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a980b1-2da0-4ef4-84a6-2e30376f1cf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D10" sqref="D10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5" t="s">
        <v>0</v>
      </c>
      <c r="B1" s="35"/>
    </row>
    <row r="2" spans="1:2" x14ac:dyDescent="0.3">
      <c r="A2" s="36" t="s">
        <v>1</v>
      </c>
      <c r="B2" s="36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5" t="s">
        <v>66</v>
      </c>
    </row>
    <row r="7" spans="1:2" x14ac:dyDescent="0.3">
      <c r="A7" s="4">
        <v>4</v>
      </c>
      <c r="B7" s="3" t="s">
        <v>67</v>
      </c>
    </row>
    <row r="8" spans="1:2" x14ac:dyDescent="0.3">
      <c r="A8" s="2">
        <v>5</v>
      </c>
      <c r="B8" s="5" t="s">
        <v>68</v>
      </c>
    </row>
    <row r="9" spans="1:2" x14ac:dyDescent="0.3">
      <c r="A9" s="4">
        <v>6</v>
      </c>
      <c r="B9" s="3" t="s">
        <v>69</v>
      </c>
    </row>
    <row r="10" spans="1:2" x14ac:dyDescent="0.3">
      <c r="A10" s="2">
        <v>7</v>
      </c>
      <c r="B10" s="5" t="s">
        <v>70</v>
      </c>
    </row>
    <row r="11" spans="1:2" x14ac:dyDescent="0.3">
      <c r="A11" s="4">
        <v>8</v>
      </c>
      <c r="B11" s="3" t="s">
        <v>71</v>
      </c>
    </row>
    <row r="12" spans="1:2" x14ac:dyDescent="0.3">
      <c r="A12" s="2">
        <v>9</v>
      </c>
      <c r="B12" s="5" t="s">
        <v>72</v>
      </c>
    </row>
    <row r="13" spans="1:2" x14ac:dyDescent="0.3">
      <c r="A13" s="4">
        <v>10</v>
      </c>
      <c r="B13" s="3" t="s">
        <v>73</v>
      </c>
    </row>
    <row r="14" spans="1:2" x14ac:dyDescent="0.3">
      <c r="A14" s="2">
        <v>11</v>
      </c>
      <c r="B14" s="5" t="s">
        <v>74</v>
      </c>
    </row>
    <row r="15" spans="1:2" x14ac:dyDescent="0.3">
      <c r="A15" s="4">
        <v>12</v>
      </c>
      <c r="B15" s="3" t="s">
        <v>75</v>
      </c>
    </row>
    <row r="16" spans="1:2" x14ac:dyDescent="0.3">
      <c r="A16" s="2">
        <v>13</v>
      </c>
      <c r="B16" s="5" t="s">
        <v>76</v>
      </c>
    </row>
    <row r="17" spans="1:2" x14ac:dyDescent="0.3">
      <c r="A17" s="4">
        <v>14</v>
      </c>
      <c r="B17" s="3" t="s">
        <v>77</v>
      </c>
    </row>
    <row r="18" spans="1:2" x14ac:dyDescent="0.3">
      <c r="A18" s="2">
        <v>15</v>
      </c>
      <c r="B18" s="5" t="s">
        <v>78</v>
      </c>
    </row>
    <row r="19" spans="1:2" x14ac:dyDescent="0.3">
      <c r="A19" s="4">
        <v>16</v>
      </c>
      <c r="B19" s="3" t="s">
        <v>79</v>
      </c>
    </row>
    <row r="20" spans="1:2" x14ac:dyDescent="0.3">
      <c r="A20" s="2">
        <v>17</v>
      </c>
      <c r="B20" s="5" t="s">
        <v>80</v>
      </c>
    </row>
    <row r="21" spans="1:2" x14ac:dyDescent="0.3">
      <c r="A21" s="4">
        <v>18</v>
      </c>
      <c r="B21" s="3" t="s">
        <v>81</v>
      </c>
    </row>
    <row r="22" spans="1:2" x14ac:dyDescent="0.3">
      <c r="A22" s="2">
        <v>19</v>
      </c>
      <c r="B22" s="5" t="s">
        <v>82</v>
      </c>
    </row>
    <row r="23" spans="1:2" x14ac:dyDescent="0.3">
      <c r="A23" s="4">
        <v>20</v>
      </c>
      <c r="B23" s="3" t="s">
        <v>83</v>
      </c>
    </row>
    <row r="24" spans="1:2" x14ac:dyDescent="0.3">
      <c r="A24" s="2">
        <v>21</v>
      </c>
      <c r="B24" s="5" t="s">
        <v>84</v>
      </c>
    </row>
    <row r="25" spans="1:2" x14ac:dyDescent="0.3">
      <c r="A25" s="4">
        <v>22</v>
      </c>
      <c r="B25" s="3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5" t="s">
        <v>87</v>
      </c>
    </row>
    <row r="28" spans="1:2" x14ac:dyDescent="0.3">
      <c r="A28" s="2">
        <v>25</v>
      </c>
      <c r="B28" s="3" t="s">
        <v>88</v>
      </c>
    </row>
    <row r="29" spans="1:2" x14ac:dyDescent="0.3">
      <c r="A29" s="4">
        <v>26</v>
      </c>
      <c r="B29" s="5" t="s">
        <v>89</v>
      </c>
    </row>
    <row r="30" spans="1:2" x14ac:dyDescent="0.3">
      <c r="A30" s="2">
        <v>27</v>
      </c>
      <c r="B30" s="5"/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zoomScaleNormal="100" workbookViewId="0">
      <selection activeCell="F33" sqref="F4:F33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91</v>
      </c>
      <c r="C3" s="7" t="s">
        <v>92</v>
      </c>
      <c r="D3" s="7" t="s">
        <v>93</v>
      </c>
      <c r="E3" s="7" t="s">
        <v>94</v>
      </c>
      <c r="F3" s="7" t="s">
        <v>95</v>
      </c>
    </row>
    <row r="4" spans="1:6" x14ac:dyDescent="0.3">
      <c r="A4" s="8">
        <v>1</v>
      </c>
      <c r="B4" s="9" t="s">
        <v>96</v>
      </c>
      <c r="C4" s="9" t="s">
        <v>111</v>
      </c>
      <c r="D4" s="9" t="s">
        <v>130</v>
      </c>
      <c r="E4" s="9" t="s">
        <v>142</v>
      </c>
      <c r="F4" s="9" t="s">
        <v>153</v>
      </c>
    </row>
    <row r="5" spans="1:6" x14ac:dyDescent="0.3">
      <c r="A5" s="10">
        <v>2</v>
      </c>
      <c r="B5" s="11" t="s">
        <v>97</v>
      </c>
      <c r="C5" s="11" t="s">
        <v>112</v>
      </c>
      <c r="D5" s="11" t="s">
        <v>131</v>
      </c>
      <c r="E5" s="11" t="s">
        <v>143</v>
      </c>
      <c r="F5" s="11" t="s">
        <v>154</v>
      </c>
    </row>
    <row r="6" spans="1:6" x14ac:dyDescent="0.3">
      <c r="A6" s="8">
        <v>3</v>
      </c>
      <c r="B6" s="9" t="s">
        <v>98</v>
      </c>
      <c r="C6" s="9" t="s">
        <v>113</v>
      </c>
      <c r="D6" s="9" t="s">
        <v>132</v>
      </c>
      <c r="E6" s="9" t="s">
        <v>144</v>
      </c>
      <c r="F6" s="9" t="s">
        <v>155</v>
      </c>
    </row>
    <row r="7" spans="1:6" x14ac:dyDescent="0.3">
      <c r="A7" s="10">
        <v>4</v>
      </c>
      <c r="B7" s="11" t="s">
        <v>99</v>
      </c>
      <c r="C7" s="11" t="s">
        <v>114</v>
      </c>
      <c r="D7" s="11" t="s">
        <v>133</v>
      </c>
      <c r="E7" s="11" t="s">
        <v>145</v>
      </c>
      <c r="F7" s="11" t="s">
        <v>156</v>
      </c>
    </row>
    <row r="8" spans="1:6" x14ac:dyDescent="0.3">
      <c r="A8" s="8">
        <v>5</v>
      </c>
      <c r="B8" s="9" t="s">
        <v>100</v>
      </c>
      <c r="C8" s="9" t="s">
        <v>115</v>
      </c>
      <c r="D8" s="9" t="s">
        <v>134</v>
      </c>
      <c r="E8" s="9" t="s">
        <v>146</v>
      </c>
      <c r="F8" s="9" t="s">
        <v>157</v>
      </c>
    </row>
    <row r="9" spans="1:6" x14ac:dyDescent="0.3">
      <c r="A9" s="10">
        <v>6</v>
      </c>
      <c r="B9" s="11" t="s">
        <v>101</v>
      </c>
      <c r="C9" s="11" t="s">
        <v>116</v>
      </c>
      <c r="D9" s="11" t="s">
        <v>135</v>
      </c>
      <c r="E9" s="11" t="s">
        <v>147</v>
      </c>
      <c r="F9" s="11" t="s">
        <v>158</v>
      </c>
    </row>
    <row r="10" spans="1:6" x14ac:dyDescent="0.3">
      <c r="A10" s="8">
        <v>7</v>
      </c>
      <c r="B10" s="9" t="s">
        <v>102</v>
      </c>
      <c r="C10" s="9" t="s">
        <v>117</v>
      </c>
      <c r="D10" s="9" t="s">
        <v>136</v>
      </c>
      <c r="E10" s="9" t="s">
        <v>148</v>
      </c>
      <c r="F10" s="9" t="s">
        <v>159</v>
      </c>
    </row>
    <row r="11" spans="1:6" x14ac:dyDescent="0.3">
      <c r="A11" s="10">
        <v>8</v>
      </c>
      <c r="B11" s="11" t="s">
        <v>103</v>
      </c>
      <c r="C11" s="11" t="s">
        <v>118</v>
      </c>
      <c r="D11" s="11" t="s">
        <v>137</v>
      </c>
      <c r="E11" s="11" t="s">
        <v>149</v>
      </c>
      <c r="F11" s="11" t="s">
        <v>160</v>
      </c>
    </row>
    <row r="12" spans="1:6" x14ac:dyDescent="0.3">
      <c r="A12" s="8">
        <v>9</v>
      </c>
      <c r="B12" s="9" t="s">
        <v>104</v>
      </c>
      <c r="C12" s="9" t="s">
        <v>119</v>
      </c>
      <c r="D12" s="9" t="s">
        <v>138</v>
      </c>
      <c r="E12" s="9" t="s">
        <v>150</v>
      </c>
      <c r="F12" s="9" t="s">
        <v>161</v>
      </c>
    </row>
    <row r="13" spans="1:6" x14ac:dyDescent="0.3">
      <c r="A13" s="10">
        <v>10</v>
      </c>
      <c r="B13" s="11" t="s">
        <v>105</v>
      </c>
      <c r="C13" s="11" t="s">
        <v>120</v>
      </c>
      <c r="D13" s="11" t="s">
        <v>139</v>
      </c>
      <c r="E13" s="11" t="s">
        <v>151</v>
      </c>
      <c r="F13" s="11" t="s">
        <v>162</v>
      </c>
    </row>
    <row r="14" spans="1:6" x14ac:dyDescent="0.3">
      <c r="A14" s="8">
        <v>11</v>
      </c>
      <c r="B14" s="9" t="s">
        <v>106</v>
      </c>
      <c r="C14" s="9" t="s">
        <v>121</v>
      </c>
      <c r="D14" s="9" t="s">
        <v>140</v>
      </c>
      <c r="E14" s="9" t="s">
        <v>152</v>
      </c>
      <c r="F14" s="9" t="s">
        <v>163</v>
      </c>
    </row>
    <row r="15" spans="1:6" x14ac:dyDescent="0.3">
      <c r="A15" s="10">
        <v>12</v>
      </c>
      <c r="B15" s="11" t="s">
        <v>107</v>
      </c>
      <c r="C15" s="11" t="s">
        <v>122</v>
      </c>
      <c r="D15" s="11" t="s">
        <v>141</v>
      </c>
      <c r="E15" s="11"/>
      <c r="F15" s="11" t="s">
        <v>164</v>
      </c>
    </row>
    <row r="16" spans="1:6" x14ac:dyDescent="0.3">
      <c r="A16" s="8">
        <v>13</v>
      </c>
      <c r="B16" s="9" t="s">
        <v>108</v>
      </c>
      <c r="C16" s="9" t="s">
        <v>123</v>
      </c>
      <c r="D16" s="9"/>
      <c r="E16" s="9"/>
      <c r="F16" s="9" t="s">
        <v>165</v>
      </c>
    </row>
    <row r="17" spans="1:6" ht="15" customHeight="1" x14ac:dyDescent="0.3">
      <c r="A17" s="10">
        <v>14</v>
      </c>
      <c r="B17" s="11" t="s">
        <v>109</v>
      </c>
      <c r="C17" s="11" t="s">
        <v>124</v>
      </c>
      <c r="D17" s="11"/>
      <c r="E17" s="11"/>
      <c r="F17" s="11" t="s">
        <v>166</v>
      </c>
    </row>
    <row r="18" spans="1:6" ht="13.2" customHeight="1" x14ac:dyDescent="0.3">
      <c r="A18" s="8">
        <v>15</v>
      </c>
      <c r="B18" s="9" t="s">
        <v>110</v>
      </c>
      <c r="C18" s="9" t="s">
        <v>125</v>
      </c>
      <c r="D18" s="9"/>
      <c r="E18" s="9"/>
      <c r="F18" s="9" t="s">
        <v>167</v>
      </c>
    </row>
    <row r="19" spans="1:6" x14ac:dyDescent="0.3">
      <c r="A19" s="10">
        <v>16</v>
      </c>
      <c r="B19" s="11"/>
      <c r="C19" s="11" t="s">
        <v>126</v>
      </c>
      <c r="D19" s="11"/>
      <c r="E19" s="11"/>
      <c r="F19" s="9" t="s">
        <v>168</v>
      </c>
    </row>
    <row r="20" spans="1:6" x14ac:dyDescent="0.3">
      <c r="A20" s="8">
        <v>17</v>
      </c>
      <c r="B20" s="9"/>
      <c r="C20" s="9" t="s">
        <v>127</v>
      </c>
      <c r="D20" s="9"/>
      <c r="E20" s="9"/>
      <c r="F20" s="11" t="s">
        <v>169</v>
      </c>
    </row>
    <row r="21" spans="1:6" x14ac:dyDescent="0.3">
      <c r="A21" s="10">
        <v>18</v>
      </c>
      <c r="B21" s="11"/>
      <c r="C21" s="11" t="s">
        <v>128</v>
      </c>
      <c r="D21" s="11"/>
      <c r="E21" s="11"/>
      <c r="F21" s="9" t="s">
        <v>170</v>
      </c>
    </row>
    <row r="22" spans="1:6" x14ac:dyDescent="0.3">
      <c r="A22" s="8">
        <v>19</v>
      </c>
      <c r="B22" s="9"/>
      <c r="C22" s="9" t="s">
        <v>129</v>
      </c>
      <c r="D22" s="9"/>
      <c r="E22" s="9"/>
      <c r="F22" s="11" t="s">
        <v>171</v>
      </c>
    </row>
    <row r="23" spans="1:6" x14ac:dyDescent="0.3">
      <c r="A23" s="10">
        <v>20</v>
      </c>
      <c r="B23" s="11"/>
      <c r="C23" s="11"/>
      <c r="D23" s="11"/>
      <c r="E23" s="11"/>
      <c r="F23" s="9" t="s">
        <v>172</v>
      </c>
    </row>
    <row r="24" spans="1:6" x14ac:dyDescent="0.3">
      <c r="A24" s="8">
        <v>21</v>
      </c>
      <c r="B24" s="9"/>
      <c r="C24" s="9"/>
      <c r="D24" s="9"/>
      <c r="E24" s="9"/>
      <c r="F24" s="11" t="s">
        <v>173</v>
      </c>
    </row>
    <row r="25" spans="1:6" x14ac:dyDescent="0.3">
      <c r="A25" s="10">
        <v>22</v>
      </c>
      <c r="B25" s="11"/>
      <c r="C25" s="11"/>
      <c r="D25" s="11"/>
      <c r="E25" s="11"/>
      <c r="F25" s="9" t="s">
        <v>174</v>
      </c>
    </row>
    <row r="26" spans="1:6" x14ac:dyDescent="0.3">
      <c r="A26" s="8">
        <v>23</v>
      </c>
      <c r="B26" s="9"/>
      <c r="C26" s="9"/>
      <c r="D26" s="9"/>
      <c r="E26" s="9"/>
      <c r="F26" s="11" t="s">
        <v>175</v>
      </c>
    </row>
    <row r="27" spans="1:6" x14ac:dyDescent="0.3">
      <c r="A27" s="10">
        <v>24</v>
      </c>
      <c r="B27" s="11"/>
      <c r="C27" s="11"/>
      <c r="D27" s="11"/>
      <c r="E27" s="11"/>
      <c r="F27" s="9" t="s">
        <v>176</v>
      </c>
    </row>
    <row r="28" spans="1:6" x14ac:dyDescent="0.3">
      <c r="A28" s="8">
        <v>25</v>
      </c>
      <c r="B28" s="9"/>
      <c r="C28" s="9"/>
      <c r="D28" s="9"/>
      <c r="E28" s="9"/>
      <c r="F28" s="11" t="s">
        <v>177</v>
      </c>
    </row>
    <row r="29" spans="1:6" x14ac:dyDescent="0.3">
      <c r="A29" s="10">
        <v>26</v>
      </c>
      <c r="B29" s="11"/>
      <c r="C29" s="11"/>
      <c r="D29" s="11"/>
      <c r="E29" s="11"/>
      <c r="F29" s="9" t="s">
        <v>178</v>
      </c>
    </row>
    <row r="30" spans="1:6" x14ac:dyDescent="0.3">
      <c r="A30" s="8">
        <v>27</v>
      </c>
      <c r="B30" s="9"/>
      <c r="C30" s="9"/>
      <c r="D30" s="9"/>
      <c r="E30" s="9"/>
      <c r="F30" s="11" t="s">
        <v>179</v>
      </c>
    </row>
    <row r="31" spans="1:6" x14ac:dyDescent="0.3">
      <c r="A31" s="10">
        <v>28</v>
      </c>
      <c r="B31" s="11"/>
      <c r="C31" s="11"/>
      <c r="D31" s="11"/>
      <c r="E31" s="11"/>
      <c r="F31" s="9" t="s">
        <v>180</v>
      </c>
    </row>
    <row r="32" spans="1:6" x14ac:dyDescent="0.3">
      <c r="A32" s="8">
        <v>29</v>
      </c>
      <c r="B32" s="9"/>
      <c r="C32" s="9"/>
      <c r="D32" s="9"/>
      <c r="E32" s="9"/>
      <c r="F32" s="9" t="s">
        <v>181</v>
      </c>
    </row>
    <row r="33" spans="1:6" x14ac:dyDescent="0.3">
      <c r="A33" s="8">
        <v>30</v>
      </c>
      <c r="B33" s="9"/>
      <c r="C33" s="9"/>
      <c r="D33" s="9"/>
      <c r="E33" s="9"/>
      <c r="F33" s="9" t="s">
        <v>182</v>
      </c>
    </row>
    <row r="34" spans="1:6" x14ac:dyDescent="0.3">
      <c r="A34" s="8">
        <v>31</v>
      </c>
      <c r="B34" s="9"/>
      <c r="C34" s="9"/>
      <c r="D34" s="9"/>
      <c r="E34" s="9"/>
      <c r="F34" s="9"/>
    </row>
    <row r="35" spans="1:6" x14ac:dyDescent="0.3">
      <c r="A35" s="8">
        <v>32</v>
      </c>
      <c r="B35" s="9"/>
      <c r="C35" s="9"/>
      <c r="D35" s="9"/>
      <c r="E35" s="9"/>
      <c r="F35" s="9"/>
    </row>
    <row r="36" spans="1:6" x14ac:dyDescent="0.3">
      <c r="A36" s="10">
        <v>33</v>
      </c>
      <c r="B36" s="11"/>
      <c r="C36" s="11"/>
      <c r="D36" s="11"/>
      <c r="E36" s="11"/>
      <c r="F36" s="11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>
      <selection activeCell="G9" sqref="G9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91</v>
      </c>
      <c r="B4" s="4" t="s">
        <v>98</v>
      </c>
      <c r="C4" s="4" t="s">
        <v>99</v>
      </c>
      <c r="D4" s="4" t="s">
        <v>108</v>
      </c>
      <c r="E4" s="4"/>
      <c r="F4" s="4"/>
      <c r="G4" s="4"/>
    </row>
    <row r="5" spans="1:7" ht="30" customHeight="1" x14ac:dyDescent="0.3">
      <c r="A5" s="6" t="s">
        <v>92</v>
      </c>
      <c r="B5" s="4"/>
      <c r="C5" s="4"/>
      <c r="D5" s="4"/>
      <c r="E5" s="4"/>
      <c r="F5" s="4"/>
      <c r="G5" s="4"/>
    </row>
    <row r="6" spans="1:7" ht="30" customHeight="1" x14ac:dyDescent="0.3">
      <c r="A6" s="6" t="s">
        <v>93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94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95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8" t="s">
        <v>15</v>
      </c>
      <c r="B11" s="38"/>
      <c r="C11" s="38"/>
      <c r="D11" s="38"/>
      <c r="E11" s="38"/>
      <c r="F11" s="38"/>
      <c r="G11" s="38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2"/>
  <sheetViews>
    <sheetView tabSelected="1" zoomScaleNormal="100" workbookViewId="0">
      <pane xSplit="2" ySplit="3" topLeftCell="C16" activePane="bottomRight" state="frozen"/>
      <selection pane="topRight" activeCell="C1" sqref="C1"/>
      <selection pane="bottomLeft" activeCell="A4" sqref="A4"/>
      <selection pane="bottomRight" activeCell="D5" sqref="D5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90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78</v>
      </c>
      <c r="C4" s="15" t="s">
        <v>101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0</v>
      </c>
      <c r="E4" s="15" t="s">
        <v>113</v>
      </c>
      <c r="F4" s="17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0</v>
      </c>
      <c r="G4" s="15" t="s">
        <v>139</v>
      </c>
      <c r="H4" s="17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>0</v>
      </c>
      <c r="I4" s="15" t="s">
        <v>146</v>
      </c>
      <c r="J4" s="17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>0</v>
      </c>
      <c r="K4" s="15" t="s">
        <v>160</v>
      </c>
      <c r="L4" s="17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>0</v>
      </c>
      <c r="M4" s="18">
        <f t="shared" ref="M4:M32" si="0">IF(COUNTA(D4,F4,H4,J4,L4)=0,"",SUM(D4,F4,H4,J4,L4))</f>
        <v>0</v>
      </c>
    </row>
    <row r="5" spans="1:13" ht="27.6" x14ac:dyDescent="0.3">
      <c r="A5" s="4">
        <v>2</v>
      </c>
      <c r="B5" s="5" t="s">
        <v>65</v>
      </c>
      <c r="C5" s="4" t="s">
        <v>108</v>
      </c>
      <c r="D5" s="17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>4</v>
      </c>
      <c r="E5" s="4" t="s">
        <v>126</v>
      </c>
      <c r="F5" s="17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>0</v>
      </c>
      <c r="G5" s="4" t="s">
        <v>141</v>
      </c>
      <c r="H5" s="17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>0</v>
      </c>
      <c r="I5" s="4" t="s">
        <v>151</v>
      </c>
      <c r="J5" s="17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>0</v>
      </c>
      <c r="K5" s="4" t="s">
        <v>155</v>
      </c>
      <c r="L5" s="17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>0</v>
      </c>
      <c r="M5" s="18">
        <f t="shared" si="0"/>
        <v>4</v>
      </c>
    </row>
    <row r="6" spans="1:13" ht="27.6" x14ac:dyDescent="0.3">
      <c r="A6" s="15">
        <v>3</v>
      </c>
      <c r="B6" s="16" t="s">
        <v>64</v>
      </c>
      <c r="C6" s="15" t="s">
        <v>106</v>
      </c>
      <c r="D6" s="17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>0</v>
      </c>
      <c r="E6" s="15" t="s">
        <v>120</v>
      </c>
      <c r="F6" s="17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>0</v>
      </c>
      <c r="G6" s="15" t="s">
        <v>134</v>
      </c>
      <c r="H6" s="17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>0</v>
      </c>
      <c r="I6" s="15" t="s">
        <v>147</v>
      </c>
      <c r="J6" s="17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>0</v>
      </c>
      <c r="K6" s="15" t="s">
        <v>162</v>
      </c>
      <c r="L6" s="17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>0</v>
      </c>
      <c r="M6" s="18">
        <f t="shared" si="0"/>
        <v>0</v>
      </c>
    </row>
    <row r="7" spans="1:13" ht="15.6" x14ac:dyDescent="0.3">
      <c r="A7" s="4">
        <v>4</v>
      </c>
      <c r="B7" s="5" t="s">
        <v>82</v>
      </c>
      <c r="C7" s="4" t="s">
        <v>96</v>
      </c>
      <c r="D7" s="17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>0</v>
      </c>
      <c r="E7" s="4" t="s">
        <v>127</v>
      </c>
      <c r="F7" s="17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>0</v>
      </c>
      <c r="G7" s="4" t="s">
        <v>138</v>
      </c>
      <c r="H7" s="17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>0</v>
      </c>
      <c r="I7" s="4" t="s">
        <v>151</v>
      </c>
      <c r="J7" s="17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>0</v>
      </c>
      <c r="K7" s="4" t="s">
        <v>155</v>
      </c>
      <c r="L7" s="17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>0</v>
      </c>
      <c r="M7" s="18">
        <f t="shared" si="0"/>
        <v>0</v>
      </c>
    </row>
    <row r="8" spans="1:13" ht="15.6" x14ac:dyDescent="0.3">
      <c r="A8" s="15">
        <v>5</v>
      </c>
      <c r="B8" s="16" t="s">
        <v>76</v>
      </c>
      <c r="C8" s="15" t="s">
        <v>100</v>
      </c>
      <c r="D8" s="17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>0</v>
      </c>
      <c r="E8" s="15" t="s">
        <v>113</v>
      </c>
      <c r="F8" s="17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>0</v>
      </c>
      <c r="G8" s="15" t="s">
        <v>133</v>
      </c>
      <c r="H8" s="17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>0</v>
      </c>
      <c r="I8" s="15" t="s">
        <v>145</v>
      </c>
      <c r="J8" s="17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>0</v>
      </c>
      <c r="K8" s="15" t="s">
        <v>179</v>
      </c>
      <c r="L8" s="17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>0</v>
      </c>
      <c r="M8" s="18">
        <f t="shared" si="0"/>
        <v>0</v>
      </c>
    </row>
    <row r="9" spans="1:13" ht="15.6" x14ac:dyDescent="0.3">
      <c r="A9" s="4">
        <v>6</v>
      </c>
      <c r="B9" s="5" t="s">
        <v>83</v>
      </c>
      <c r="C9" s="4" t="s">
        <v>99</v>
      </c>
      <c r="D9" s="17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>6</v>
      </c>
      <c r="E9" s="4" t="s">
        <v>112</v>
      </c>
      <c r="F9" s="17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>0</v>
      </c>
      <c r="G9" s="4" t="s">
        <v>136</v>
      </c>
      <c r="H9" s="17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>0</v>
      </c>
      <c r="I9" s="4" t="s">
        <v>143</v>
      </c>
      <c r="J9" s="17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>0</v>
      </c>
      <c r="K9" s="4" t="s">
        <v>178</v>
      </c>
      <c r="L9" s="17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>0</v>
      </c>
      <c r="M9" s="18">
        <f t="shared" si="0"/>
        <v>6</v>
      </c>
    </row>
    <row r="10" spans="1:13" ht="15.6" x14ac:dyDescent="0.3">
      <c r="A10" s="15">
        <v>7</v>
      </c>
      <c r="B10" s="16" t="s">
        <v>84</v>
      </c>
      <c r="C10" s="15" t="s">
        <v>96</v>
      </c>
      <c r="D10" s="17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>0</v>
      </c>
      <c r="E10" s="15" t="s">
        <v>112</v>
      </c>
      <c r="F10" s="17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>0</v>
      </c>
      <c r="G10" s="15" t="s">
        <v>134</v>
      </c>
      <c r="H10" s="17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>0</v>
      </c>
      <c r="I10" s="15" t="s">
        <v>144</v>
      </c>
      <c r="J10" s="17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>0</v>
      </c>
      <c r="K10" s="15" t="s">
        <v>159</v>
      </c>
      <c r="L10" s="17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>0</v>
      </c>
      <c r="M10" s="18">
        <f t="shared" si="0"/>
        <v>0</v>
      </c>
    </row>
    <row r="11" spans="1:13" ht="15.6" x14ac:dyDescent="0.3">
      <c r="A11" s="4">
        <v>8</v>
      </c>
      <c r="B11" s="5" t="s">
        <v>71</v>
      </c>
      <c r="C11" s="4" t="s">
        <v>96</v>
      </c>
      <c r="D11" s="17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>0</v>
      </c>
      <c r="E11" s="4" t="s">
        <v>113</v>
      </c>
      <c r="F11" s="17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>0</v>
      </c>
      <c r="G11" s="4" t="s">
        <v>138</v>
      </c>
      <c r="H11" s="17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>0</v>
      </c>
      <c r="I11" s="4" t="s">
        <v>151</v>
      </c>
      <c r="J11" s="17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>0</v>
      </c>
      <c r="K11" s="4" t="s">
        <v>155</v>
      </c>
      <c r="L11" s="17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>0</v>
      </c>
      <c r="M11" s="18">
        <f t="shared" si="0"/>
        <v>0</v>
      </c>
    </row>
    <row r="12" spans="1:13" ht="15.6" x14ac:dyDescent="0.3">
      <c r="A12" s="15">
        <v>9</v>
      </c>
      <c r="B12" s="16" t="s">
        <v>87</v>
      </c>
      <c r="C12" s="15" t="s">
        <v>103</v>
      </c>
      <c r="D12" s="17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>0</v>
      </c>
      <c r="E12" s="15" t="s">
        <v>115</v>
      </c>
      <c r="F12" s="17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>0</v>
      </c>
      <c r="G12" s="15" t="s">
        <v>131</v>
      </c>
      <c r="H12" s="17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>0</v>
      </c>
      <c r="I12" s="15" t="s">
        <v>143</v>
      </c>
      <c r="J12" s="17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>0</v>
      </c>
      <c r="K12" s="15" t="s">
        <v>164</v>
      </c>
      <c r="L12" s="17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>0</v>
      </c>
      <c r="M12" s="18">
        <f t="shared" si="0"/>
        <v>0</v>
      </c>
    </row>
    <row r="13" spans="1:13" ht="15.6" x14ac:dyDescent="0.3">
      <c r="A13" s="4">
        <v>10</v>
      </c>
      <c r="B13" s="5" t="s">
        <v>72</v>
      </c>
      <c r="C13" s="4" t="s">
        <v>96</v>
      </c>
      <c r="D13" s="17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>0</v>
      </c>
      <c r="E13" s="4" t="s">
        <v>127</v>
      </c>
      <c r="F13" s="17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>0</v>
      </c>
      <c r="G13" s="4" t="s">
        <v>138</v>
      </c>
      <c r="H13" s="17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>0</v>
      </c>
      <c r="I13" s="4" t="s">
        <v>147</v>
      </c>
      <c r="J13" s="17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>0</v>
      </c>
      <c r="K13" s="4" t="s">
        <v>163</v>
      </c>
      <c r="L13" s="17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>0</v>
      </c>
      <c r="M13" s="18">
        <f t="shared" si="0"/>
        <v>0</v>
      </c>
    </row>
    <row r="14" spans="1:13" ht="15.6" x14ac:dyDescent="0.3">
      <c r="A14" s="15">
        <v>11</v>
      </c>
      <c r="B14" s="16" t="s">
        <v>66</v>
      </c>
      <c r="C14" s="15" t="s">
        <v>96</v>
      </c>
      <c r="D14" s="17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>0</v>
      </c>
      <c r="E14" s="15" t="s">
        <v>113</v>
      </c>
      <c r="F14" s="17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>0</v>
      </c>
      <c r="G14" s="15" t="s">
        <v>133</v>
      </c>
      <c r="H14" s="17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>0</v>
      </c>
      <c r="I14" s="15" t="s">
        <v>147</v>
      </c>
      <c r="J14" s="17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>0</v>
      </c>
      <c r="K14" s="15" t="s">
        <v>163</v>
      </c>
      <c r="L14" s="17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>0</v>
      </c>
      <c r="M14" s="18">
        <f t="shared" si="0"/>
        <v>0</v>
      </c>
    </row>
    <row r="15" spans="1:13" ht="15.6" x14ac:dyDescent="0.3">
      <c r="A15" s="15">
        <v>13</v>
      </c>
      <c r="B15" s="16" t="s">
        <v>81</v>
      </c>
      <c r="C15" s="15" t="s">
        <v>99</v>
      </c>
      <c r="D15" s="17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>6</v>
      </c>
      <c r="E15" s="15" t="s">
        <v>119</v>
      </c>
      <c r="F15" s="17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>0</v>
      </c>
      <c r="G15" s="15" t="s">
        <v>130</v>
      </c>
      <c r="H15" s="17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>0</v>
      </c>
      <c r="I15" s="15" t="s">
        <v>146</v>
      </c>
      <c r="J15" s="17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>0</v>
      </c>
      <c r="K15" s="15" t="s">
        <v>155</v>
      </c>
      <c r="L15" s="17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>0</v>
      </c>
      <c r="M15" s="18">
        <f t="shared" si="0"/>
        <v>6</v>
      </c>
    </row>
    <row r="16" spans="1:13" ht="15.6" x14ac:dyDescent="0.3">
      <c r="A16" s="4">
        <v>14</v>
      </c>
      <c r="B16" s="5" t="s">
        <v>70</v>
      </c>
      <c r="C16" s="4" t="s">
        <v>96</v>
      </c>
      <c r="D16" s="17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>0</v>
      </c>
      <c r="E16" s="4" t="s">
        <v>127</v>
      </c>
      <c r="F16" s="17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>0</v>
      </c>
      <c r="G16" s="4" t="s">
        <v>138</v>
      </c>
      <c r="H16" s="17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>0</v>
      </c>
      <c r="I16" s="4" t="s">
        <v>151</v>
      </c>
      <c r="J16" s="17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>0</v>
      </c>
      <c r="K16" s="4" t="s">
        <v>159</v>
      </c>
      <c r="L16" s="17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>0</v>
      </c>
      <c r="M16" s="18">
        <f t="shared" si="0"/>
        <v>0</v>
      </c>
    </row>
    <row r="17" spans="1:13" ht="15.6" x14ac:dyDescent="0.3">
      <c r="A17" s="15">
        <v>15</v>
      </c>
      <c r="B17" s="16" t="s">
        <v>79</v>
      </c>
      <c r="C17" s="15" t="s">
        <v>103</v>
      </c>
      <c r="D17" s="17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0</v>
      </c>
      <c r="E17" s="15" t="s">
        <v>118</v>
      </c>
      <c r="F17" s="17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>0</v>
      </c>
      <c r="G17" s="15" t="s">
        <v>137</v>
      </c>
      <c r="H17" s="17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>0</v>
      </c>
      <c r="I17" s="15" t="s">
        <v>149</v>
      </c>
      <c r="J17" s="17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>0</v>
      </c>
      <c r="K17" s="15" t="s">
        <v>160</v>
      </c>
      <c r="L17" s="17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>0</v>
      </c>
      <c r="M17" s="18">
        <f t="shared" si="0"/>
        <v>0</v>
      </c>
    </row>
    <row r="18" spans="1:13" ht="27.6" x14ac:dyDescent="0.3">
      <c r="A18" s="4">
        <v>16</v>
      </c>
      <c r="B18" s="5" t="s">
        <v>80</v>
      </c>
      <c r="C18" s="4" t="s">
        <v>96</v>
      </c>
      <c r="D18" s="17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>0</v>
      </c>
      <c r="E18" s="4" t="s">
        <v>113</v>
      </c>
      <c r="F18" s="17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>0</v>
      </c>
      <c r="G18" s="4" t="s">
        <v>131</v>
      </c>
      <c r="H18" s="17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>0</v>
      </c>
      <c r="I18" s="4" t="s">
        <v>151</v>
      </c>
      <c r="J18" s="17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>0</v>
      </c>
      <c r="K18" s="4" t="s">
        <v>158</v>
      </c>
      <c r="L18" s="17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>0</v>
      </c>
      <c r="M18" s="18">
        <f t="shared" si="0"/>
        <v>0</v>
      </c>
    </row>
    <row r="19" spans="1:13" ht="15.6" x14ac:dyDescent="0.3">
      <c r="A19" s="15">
        <v>17</v>
      </c>
      <c r="B19" s="16" t="s">
        <v>88</v>
      </c>
      <c r="C19" s="15" t="s">
        <v>96</v>
      </c>
      <c r="D19" s="17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>0</v>
      </c>
      <c r="E19" s="15" t="s">
        <v>113</v>
      </c>
      <c r="F19" s="17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>0</v>
      </c>
      <c r="G19" s="15" t="s">
        <v>131</v>
      </c>
      <c r="H19" s="17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>0</v>
      </c>
      <c r="I19" s="15" t="s">
        <v>151</v>
      </c>
      <c r="J19" s="17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>0</v>
      </c>
      <c r="K19" s="15" t="s">
        <v>162</v>
      </c>
      <c r="L19" s="17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>0</v>
      </c>
      <c r="M19" s="18">
        <f t="shared" si="0"/>
        <v>0</v>
      </c>
    </row>
    <row r="20" spans="1:13" ht="15.6" x14ac:dyDescent="0.3">
      <c r="A20" s="4">
        <v>18</v>
      </c>
      <c r="B20" s="16" t="s">
        <v>74</v>
      </c>
      <c r="C20" s="4" t="s">
        <v>103</v>
      </c>
      <c r="D20" s="17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>0</v>
      </c>
      <c r="E20" s="4" t="s">
        <v>121</v>
      </c>
      <c r="F20" s="17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>0</v>
      </c>
      <c r="G20" s="4" t="s">
        <v>138</v>
      </c>
      <c r="H20" s="17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>0</v>
      </c>
      <c r="I20" s="4" t="s">
        <v>147</v>
      </c>
      <c r="J20" s="17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>0</v>
      </c>
      <c r="K20" s="4" t="s">
        <v>166</v>
      </c>
      <c r="L20" s="17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>0</v>
      </c>
      <c r="M20" s="18">
        <f t="shared" si="0"/>
        <v>0</v>
      </c>
    </row>
    <row r="21" spans="1:13" ht="15.6" x14ac:dyDescent="0.3">
      <c r="A21" s="15">
        <v>19</v>
      </c>
      <c r="B21" s="16" t="s">
        <v>75</v>
      </c>
      <c r="C21" s="15" t="s">
        <v>102</v>
      </c>
      <c r="D21" s="17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>0</v>
      </c>
      <c r="E21" s="15" t="s">
        <v>117</v>
      </c>
      <c r="F21" s="17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>0</v>
      </c>
      <c r="G21" s="15" t="s">
        <v>130</v>
      </c>
      <c r="H21" s="17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>0</v>
      </c>
      <c r="I21" s="15" t="s">
        <v>145</v>
      </c>
      <c r="J21" s="17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>0</v>
      </c>
      <c r="K21" s="15" t="s">
        <v>164</v>
      </c>
      <c r="L21" s="17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>0</v>
      </c>
      <c r="M21" s="18">
        <f t="shared" si="0"/>
        <v>0</v>
      </c>
    </row>
    <row r="22" spans="1:13" ht="15.6" x14ac:dyDescent="0.3">
      <c r="A22" s="4">
        <v>20</v>
      </c>
      <c r="B22" s="5" t="s">
        <v>73</v>
      </c>
      <c r="C22" s="4" t="s">
        <v>96</v>
      </c>
      <c r="D22" s="17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>0</v>
      </c>
      <c r="E22" s="4" t="s">
        <v>122</v>
      </c>
      <c r="F22" s="17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>0</v>
      </c>
      <c r="G22" s="4" t="s">
        <v>138</v>
      </c>
      <c r="H22" s="17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>0</v>
      </c>
      <c r="I22" s="4" t="s">
        <v>151</v>
      </c>
      <c r="J22" s="17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>0</v>
      </c>
      <c r="K22" s="4" t="s">
        <v>162</v>
      </c>
      <c r="L22" s="17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>0</v>
      </c>
      <c r="M22" s="18">
        <f t="shared" si="0"/>
        <v>0</v>
      </c>
    </row>
    <row r="23" spans="1:13" ht="27.6" x14ac:dyDescent="0.3">
      <c r="A23" s="15">
        <v>21</v>
      </c>
      <c r="B23" s="16" t="s">
        <v>77</v>
      </c>
      <c r="C23" s="15" t="s">
        <v>106</v>
      </c>
      <c r="D23" s="17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>0</v>
      </c>
      <c r="E23" s="15" t="s">
        <v>126</v>
      </c>
      <c r="F23" s="17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>0</v>
      </c>
      <c r="G23" s="15" t="s">
        <v>135</v>
      </c>
      <c r="H23" s="17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>0</v>
      </c>
      <c r="I23" s="15" t="s">
        <v>146</v>
      </c>
      <c r="J23" s="17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>0</v>
      </c>
      <c r="K23" s="15" t="s">
        <v>178</v>
      </c>
      <c r="L23" s="17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>0</v>
      </c>
      <c r="M23" s="18">
        <f t="shared" si="0"/>
        <v>0</v>
      </c>
    </row>
    <row r="24" spans="1:13" ht="15.6" x14ac:dyDescent="0.3">
      <c r="A24" s="4">
        <v>22</v>
      </c>
      <c r="B24" s="5" t="s">
        <v>86</v>
      </c>
      <c r="C24" s="4" t="s">
        <v>96</v>
      </c>
      <c r="D24" s="17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>0</v>
      </c>
      <c r="E24" s="4" t="s">
        <v>116</v>
      </c>
      <c r="F24" s="17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>0</v>
      </c>
      <c r="G24" s="4" t="s">
        <v>131</v>
      </c>
      <c r="H24" s="17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>0</v>
      </c>
      <c r="I24" s="4" t="s">
        <v>151</v>
      </c>
      <c r="J24" s="17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>0</v>
      </c>
      <c r="K24" s="4" t="s">
        <v>164</v>
      </c>
      <c r="L24" s="17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>0</v>
      </c>
      <c r="M24" s="18">
        <f t="shared" si="0"/>
        <v>0</v>
      </c>
    </row>
    <row r="25" spans="1:13" ht="15.6" x14ac:dyDescent="0.3">
      <c r="A25" s="15">
        <v>23</v>
      </c>
      <c r="B25" s="16" t="s">
        <v>85</v>
      </c>
      <c r="C25" s="15" t="s">
        <v>98</v>
      </c>
      <c r="D25" s="17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>10</v>
      </c>
      <c r="E25" s="15" t="s">
        <v>122</v>
      </c>
      <c r="F25" s="17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>0</v>
      </c>
      <c r="G25" s="15" t="s">
        <v>133</v>
      </c>
      <c r="H25" s="17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>0</v>
      </c>
      <c r="I25" s="15" t="s">
        <v>151</v>
      </c>
      <c r="J25" s="17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>0</v>
      </c>
      <c r="K25" s="15" t="s">
        <v>180</v>
      </c>
      <c r="L25" s="17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>0</v>
      </c>
      <c r="M25" s="18">
        <f t="shared" si="0"/>
        <v>10</v>
      </c>
    </row>
    <row r="26" spans="1:13" ht="15.6" x14ac:dyDescent="0.3">
      <c r="A26" s="4">
        <v>24</v>
      </c>
      <c r="B26" s="5" t="s">
        <v>89</v>
      </c>
      <c r="C26" s="4" t="s">
        <v>96</v>
      </c>
      <c r="D26" s="17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>0</v>
      </c>
      <c r="E26" s="4" t="s">
        <v>122</v>
      </c>
      <c r="F26" s="17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>0</v>
      </c>
      <c r="G26" s="4" t="s">
        <v>134</v>
      </c>
      <c r="H26" s="17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>0</v>
      </c>
      <c r="I26" s="4" t="s">
        <v>146</v>
      </c>
      <c r="J26" s="17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>0</v>
      </c>
      <c r="K26" s="4" t="s">
        <v>181</v>
      </c>
      <c r="L26" s="17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>0</v>
      </c>
      <c r="M26" s="18">
        <f t="shared" si="0"/>
        <v>0</v>
      </c>
    </row>
    <row r="27" spans="1:13" ht="15.6" x14ac:dyDescent="0.3">
      <c r="A27" s="15">
        <v>25</v>
      </c>
      <c r="B27" s="16" t="s">
        <v>68</v>
      </c>
      <c r="C27" s="15" t="s">
        <v>110</v>
      </c>
      <c r="D27" s="17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>0</v>
      </c>
      <c r="E27" s="15" t="s">
        <v>112</v>
      </c>
      <c r="F27" s="17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>0</v>
      </c>
      <c r="G27" s="15" t="s">
        <v>138</v>
      </c>
      <c r="H27" s="17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>0</v>
      </c>
      <c r="I27" s="15" t="s">
        <v>147</v>
      </c>
      <c r="J27" s="17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>0</v>
      </c>
      <c r="K27" s="15" t="s">
        <v>154</v>
      </c>
      <c r="L27" s="17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>0</v>
      </c>
      <c r="M27" s="18">
        <f t="shared" si="0"/>
        <v>0</v>
      </c>
    </row>
    <row r="28" spans="1:13" ht="15.6" x14ac:dyDescent="0.3">
      <c r="A28" s="4">
        <v>26</v>
      </c>
      <c r="B28" s="5" t="s">
        <v>69</v>
      </c>
      <c r="C28" s="4" t="s">
        <v>96</v>
      </c>
      <c r="D28" s="17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>0</v>
      </c>
      <c r="E28" s="4" t="s">
        <v>120</v>
      </c>
      <c r="F28" s="17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>0</v>
      </c>
      <c r="G28" s="4" t="s">
        <v>138</v>
      </c>
      <c r="H28" s="17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>0</v>
      </c>
      <c r="I28" s="4" t="s">
        <v>151</v>
      </c>
      <c r="J28" s="17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>0</v>
      </c>
      <c r="K28" s="4" t="s">
        <v>178</v>
      </c>
      <c r="L28" s="17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>0</v>
      </c>
      <c r="M28" s="18">
        <f t="shared" si="0"/>
        <v>0</v>
      </c>
    </row>
    <row r="29" spans="1:13" ht="15.6" x14ac:dyDescent="0.3">
      <c r="A29" s="15">
        <v>27</v>
      </c>
      <c r="B29" s="16"/>
      <c r="C29" s="15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15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15"/>
      <c r="H29" s="17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15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15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0</v>
      </c>
    </row>
    <row r="30" spans="1:13" ht="15.6" x14ac:dyDescent="0.3">
      <c r="A30" s="4">
        <v>28</v>
      </c>
      <c r="B30" s="5"/>
      <c r="C30" s="4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4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4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4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4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15">
        <v>29</v>
      </c>
      <c r="B31" s="16"/>
      <c r="C31" s="15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15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15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15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15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4">
        <v>30</v>
      </c>
      <c r="B32" s="5"/>
      <c r="C32" s="4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4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4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4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4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B4:B32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C4:C32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E4:E32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G4:G32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I4:I32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activeCell="B32" sqref="B32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Scores'!$B$4:$B$32,MATCH(LARGE('Picks &amp; Scores'!$M$4:$M$32,1),'Picks &amp; Scores'!$M$4:$M$32,0)),"")</f>
        <v>Liam Bridgeman</v>
      </c>
      <c r="C3" s="21">
        <f>IFERROR(LARGE('Picks &amp; Scores'!$M$4:$M$32,1),"")</f>
        <v>10</v>
      </c>
      <c r="D3" s="22">
        <f ca="1">IFERROR(COUNTIF(OFFSET('Picks &amp; Scores'!$D$4:$L$32,MATCH(C3,'Picks &amp; Scores'!$M$4:$M$32,0)-1,0,1,11),10),"")</f>
        <v>2</v>
      </c>
    </row>
    <row r="4" spans="1:4" ht="18" x14ac:dyDescent="0.3">
      <c r="A4" s="19">
        <v>2</v>
      </c>
      <c r="B4" s="20" t="str">
        <f>IFERROR(INDEX('Picks &amp; Scores'!$B$4:$B$32,MATCH(LARGE('Picks &amp; Scores'!$M$4:$M$32,2),'Picks &amp; Scores'!$M$4:$M$32,0)),"")</f>
        <v>Steve Burfitt</v>
      </c>
      <c r="C4" s="21">
        <f>IFERROR(LARGE('Picks &amp; Scores'!$M$4:$M$32,2),"")</f>
        <v>6</v>
      </c>
      <c r="D4" s="22">
        <f ca="1">IFERROR(COUNTIF(OFFSET('Picks &amp; Scores'!$D$4:$L$32,MATCH(C4,'Picks &amp; Scores'!$M$4:$M$32,0)-1,0,1,11),10),"")</f>
        <v>0</v>
      </c>
    </row>
    <row r="5" spans="1:4" ht="18" x14ac:dyDescent="0.3">
      <c r="A5" s="19">
        <v>3</v>
      </c>
      <c r="B5" s="20" t="str">
        <f>IFERROR(INDEX('Picks &amp; Scores'!$B$4:$B$32,MATCH(LARGE('Picks &amp; Scores'!$M$4:$M$32,3),'Picks &amp; Scores'!$M$4:$M$32,0)),"")</f>
        <v>Steve Burfitt</v>
      </c>
      <c r="C5" s="21">
        <f>IFERROR(LARGE('Picks &amp; Scores'!$M$4:$M$32,3),"")</f>
        <v>6</v>
      </c>
      <c r="D5" s="22">
        <f ca="1">IFERROR(COUNTIF(OFFSET('Picks &amp; Scores'!$D$4:$L$32,MATCH(C5,'Picks &amp; Scores'!$M$4:$M$32,0)-1,0,1,11),10),"")</f>
        <v>0</v>
      </c>
    </row>
    <row r="6" spans="1:4" ht="18" x14ac:dyDescent="0.3">
      <c r="A6" s="23">
        <v>4</v>
      </c>
      <c r="B6" s="24" t="str">
        <f>IFERROR(INDEX('Picks &amp; Scores'!$B$4:$B$32,MATCH(LARGE('Picks &amp; Scores'!$M$4:$M$32,4),'Picks &amp; Scores'!$M$4:$M$32,0)),"")</f>
        <v>Marianne Chardon</v>
      </c>
      <c r="C6" s="25">
        <f>IFERROR(LARGE('Picks &amp; Scores'!$M$4:$M$32,4),"")</f>
        <v>4</v>
      </c>
      <c r="D6" s="26">
        <f ca="1">IFERROR(COUNTIF(OFFSET('Picks &amp; Scores'!$D$4:$L$32,MATCH(C6,'Picks &amp; Scores'!$M$4:$M$32,0)-1,0,1,11),10),"")</f>
        <v>0</v>
      </c>
    </row>
    <row r="7" spans="1:4" ht="18" x14ac:dyDescent="0.3">
      <c r="A7" s="27">
        <v>5</v>
      </c>
      <c r="B7" s="28" t="str">
        <f>IFERROR(INDEX('Picks &amp; Scores'!$B$4:$B$32,MATCH(LARGE('Picks &amp; Scores'!$M$4:$M$32,5),'Picks &amp; Scores'!$M$4:$M$32,0)),"")</f>
        <v>Liz Bugler</v>
      </c>
      <c r="C7" s="29">
        <f>IFERROR(LARGE('Picks &amp; Scores'!$M$4:$M$32,5),"")</f>
        <v>0</v>
      </c>
      <c r="D7" s="30">
        <f ca="1">IFERROR(COUNTIF(OFFSET('Picks &amp; Scores'!$D$4:$L$32,MATCH(C7,'Picks &amp; Scores'!$M$4:$M$32,0)-1,0,1,11),10),"")</f>
        <v>0</v>
      </c>
    </row>
    <row r="8" spans="1:4" ht="18" x14ac:dyDescent="0.3">
      <c r="A8" s="23">
        <v>6</v>
      </c>
      <c r="B8" s="24" t="str">
        <f>IFERROR(INDEX('Picks &amp; Scores'!$B$4:$B$32,MATCH(LARGE('Picks &amp; Scores'!$M$4:$M$32,6),'Picks &amp; Scores'!$M$4:$M$32,0)),"")</f>
        <v>Liz Bugler</v>
      </c>
      <c r="C8" s="25">
        <f>IFERROR(LARGE('Picks &amp; Scores'!$M$4:$M$32,6),"")</f>
        <v>0</v>
      </c>
      <c r="D8" s="26">
        <f ca="1">IFERROR(COUNTIF(OFFSET('Picks &amp; Scores'!$D$4:$L$32,MATCH(C8,'Picks &amp; Scores'!$M$4:$M$32,0)-1,0,1,11),10),"")</f>
        <v>0</v>
      </c>
    </row>
    <row r="9" spans="1:4" ht="18" x14ac:dyDescent="0.3">
      <c r="A9" s="27">
        <v>7</v>
      </c>
      <c r="B9" s="28" t="str">
        <f>IFERROR(INDEX('Picks &amp; Scores'!$B$4:$B$32,MATCH(LARGE('Picks &amp; Scores'!$M$4:$M$32,7),'Picks &amp; Scores'!$M$4:$M$32,0)),"")</f>
        <v>Liz Bugler</v>
      </c>
      <c r="C9" s="29">
        <f>IFERROR(LARGE('Picks &amp; Scores'!$M$4:$M$32,7),"")</f>
        <v>0</v>
      </c>
      <c r="D9" s="30">
        <f ca="1">IFERROR(COUNTIF(OFFSET('Picks &amp; Scores'!$D$4:$L$32,MATCH(C9,'Picks &amp; Scores'!$M$4:$M$32,0)-1,0,1,11),10),"")</f>
        <v>0</v>
      </c>
    </row>
    <row r="10" spans="1:4" ht="18" x14ac:dyDescent="0.3">
      <c r="A10" s="23">
        <v>8</v>
      </c>
      <c r="B10" s="24" t="str">
        <f>IFERROR(INDEX('Picks &amp; Scores'!$B$4:$B$32,MATCH(LARGE('Picks &amp; Scores'!$M$4:$M$32,8),'Picks &amp; Scores'!$M$4:$M$32,0)),"")</f>
        <v>Liz Bugler</v>
      </c>
      <c r="C10" s="25">
        <f>IFERROR(LARGE('Picks &amp; Scores'!$M$4:$M$32,8),"")</f>
        <v>0</v>
      </c>
      <c r="D10" s="26">
        <f ca="1">IFERROR(COUNTIF(OFFSET('Picks &amp; Scores'!$D$4:$L$32,MATCH(C10,'Picks &amp; Scores'!$M$4:$M$32,0)-1,0,1,11),10),"")</f>
        <v>0</v>
      </c>
    </row>
    <row r="11" spans="1:4" ht="18" x14ac:dyDescent="0.3">
      <c r="A11" s="27">
        <v>9</v>
      </c>
      <c r="B11" s="28" t="str">
        <f>IFERROR(INDEX('Picks &amp; Scores'!$B$4:$B$32,MATCH(LARGE('Picks &amp; Scores'!$M$4:$M$32,9),'Picks &amp; Scores'!$M$4:$M$32,0)),"")</f>
        <v>Liz Bugler</v>
      </c>
      <c r="C11" s="29">
        <f>IFERROR(LARGE('Picks &amp; Scores'!$M$4:$M$32,9),"")</f>
        <v>0</v>
      </c>
      <c r="D11" s="30">
        <f ca="1">IFERROR(COUNTIF(OFFSET('Picks &amp; Scores'!$D$4:$L$32,MATCH(C11,'Picks &amp; Scores'!$M$4:$M$32,0)-1,0,1,11),10),"")</f>
        <v>0</v>
      </c>
    </row>
    <row r="12" spans="1:4" ht="18" x14ac:dyDescent="0.3">
      <c r="A12" s="23">
        <v>10</v>
      </c>
      <c r="B12" s="24" t="str">
        <f>IFERROR(INDEX('Picks &amp; Scores'!$B$4:$B$32,MATCH(LARGE('Picks &amp; Scores'!$M$4:$M$32,10),'Picks &amp; Scores'!$M$4:$M$32,0)),"")</f>
        <v>Liz Bugler</v>
      </c>
      <c r="C12" s="25">
        <f>IFERROR(LARGE('Picks &amp; Scores'!$M$4:$M$32,10),"")</f>
        <v>0</v>
      </c>
      <c r="D12" s="26">
        <f ca="1">IFERROR(COUNTIF(OFFSET('Picks &amp; Scores'!$D$4:$L$32,MATCH(C12,'Picks &amp; Scores'!$M$4:$M$32,0)-1,0,1,11),10),"")</f>
        <v>0</v>
      </c>
    </row>
    <row r="13" spans="1:4" ht="18" x14ac:dyDescent="0.3">
      <c r="A13" s="27">
        <v>11</v>
      </c>
      <c r="B13" s="28" t="str">
        <f>IFERROR(INDEX('Picks &amp; Scores'!$B$4:$B$32,MATCH(LARGE('Picks &amp; Scores'!$M$4:$M$32,11),'Picks &amp; Scores'!$M$4:$M$32,0)),"")</f>
        <v>Liz Bugler</v>
      </c>
      <c r="C13" s="29">
        <f>IFERROR(LARGE('Picks &amp; Scores'!$M$4:$M$32,11),"")</f>
        <v>0</v>
      </c>
      <c r="D13" s="30">
        <f ca="1">IFERROR(COUNTIF(OFFSET('Picks &amp; Scores'!$D$4:$L$32,MATCH(C13,'Picks &amp; Scores'!$M$4:$M$32,0)-1,0,1,11),10),"")</f>
        <v>0</v>
      </c>
    </row>
    <row r="14" spans="1:4" ht="18" x14ac:dyDescent="0.3">
      <c r="A14" s="23">
        <v>12</v>
      </c>
      <c r="B14" s="24" t="str">
        <f>IFERROR(INDEX('Picks &amp; Scores'!$B$4:$B$32,MATCH(LARGE('Picks &amp; Scores'!$M$4:$M$32,12),'Picks &amp; Scores'!$M$4:$M$32,0)),"")</f>
        <v>Liz Bugler</v>
      </c>
      <c r="C14" s="25">
        <f>IFERROR(LARGE('Picks &amp; Scores'!$M$4:$M$32,12),"")</f>
        <v>0</v>
      </c>
      <c r="D14" s="26">
        <f ca="1">IFERROR(COUNTIF(OFFSET('Picks &amp; Scores'!$D$4:$L$32,MATCH(C14,'Picks &amp; Scores'!$M$4:$M$32,0)-1,0,1,11),10),"")</f>
        <v>0</v>
      </c>
    </row>
    <row r="15" spans="1:4" ht="18" x14ac:dyDescent="0.3">
      <c r="A15" s="27">
        <v>13</v>
      </c>
      <c r="B15" s="28" t="str">
        <f>IFERROR(INDEX('Picks &amp; Scores'!$B$4:$B$32,MATCH(LARGE('Picks &amp; Scores'!$M$4:$M$32,13),'Picks &amp; Scores'!$M$4:$M$32,0)),"")</f>
        <v>Liz Bugler</v>
      </c>
      <c r="C15" s="29">
        <f>IFERROR(LARGE('Picks &amp; Scores'!$M$4:$M$32,13),"")</f>
        <v>0</v>
      </c>
      <c r="D15" s="30">
        <f ca="1">IFERROR(COUNTIF(OFFSET('Picks &amp; Scores'!$D$4:$L$32,MATCH(C15,'Picks &amp; Scores'!$M$4:$M$32,0)-1,0,1,11),10),"")</f>
        <v>0</v>
      </c>
    </row>
    <row r="16" spans="1:4" ht="18" x14ac:dyDescent="0.3">
      <c r="A16" s="23">
        <v>14</v>
      </c>
      <c r="B16" s="24" t="str">
        <f>IFERROR(INDEX('Picks &amp; Scores'!$B$4:$B$32,MATCH(LARGE('Picks &amp; Scores'!$M$4:$M$32,14),'Picks &amp; Scores'!$M$4:$M$32,0)),"")</f>
        <v>Liz Bugler</v>
      </c>
      <c r="C16" s="25">
        <f>IFERROR(LARGE('Picks &amp; Scores'!$M$4:$M$32,14),"")</f>
        <v>0</v>
      </c>
      <c r="D16" s="26">
        <f ca="1">IFERROR(COUNTIF(OFFSET('Picks &amp; Scores'!$D$4:$L$32,MATCH(C16,'Picks &amp; Scores'!$M$4:$M$32,0)-1,0,1,11),10),"")</f>
        <v>0</v>
      </c>
    </row>
    <row r="17" spans="1:4" ht="18" x14ac:dyDescent="0.3">
      <c r="A17" s="27">
        <v>15</v>
      </c>
      <c r="B17" s="28" t="str">
        <f>IFERROR(INDEX('Picks &amp; Scores'!$B$4:$B$32,MATCH(LARGE('Picks &amp; Scores'!$M$4:$M$32,15),'Picks &amp; Scores'!$M$4:$M$32,0)),"")</f>
        <v>Liz Bugler</v>
      </c>
      <c r="C17" s="29">
        <f>IFERROR(LARGE('Picks &amp; Scores'!$M$4:$M$32,15),"")</f>
        <v>0</v>
      </c>
      <c r="D17" s="30">
        <f ca="1">IFERROR(COUNTIF(OFFSET('Picks &amp; Scores'!$D$4:$L$32,MATCH(C17,'Picks &amp; Scores'!$M$4:$M$32,0)-1,0,1,11),10),"")</f>
        <v>0</v>
      </c>
    </row>
    <row r="18" spans="1:4" ht="18" x14ac:dyDescent="0.3">
      <c r="A18" s="23">
        <v>16</v>
      </c>
      <c r="B18" s="24" t="str">
        <f>IFERROR(INDEX('Picks &amp; Scores'!$B$4:$B$32,MATCH(LARGE('Picks &amp; Scores'!$M$4:$M$32,16),'Picks &amp; Scores'!$M$4:$M$32,0)),"")</f>
        <v>Liz Bugler</v>
      </c>
      <c r="C18" s="25">
        <f>IFERROR(LARGE('Picks &amp; Scores'!$M$4:$M$32,16),"")</f>
        <v>0</v>
      </c>
      <c r="D18" s="26">
        <f ca="1">IFERROR(COUNTIF(OFFSET('Picks &amp; Scores'!$D$4:$L$32,MATCH(C18,'Picks &amp; Scores'!$M$4:$M$32,0)-1,0,1,11),10),"")</f>
        <v>0</v>
      </c>
    </row>
    <row r="19" spans="1:4" ht="18" x14ac:dyDescent="0.3">
      <c r="A19" s="27">
        <v>17</v>
      </c>
      <c r="B19" s="28" t="str">
        <f>IFERROR(INDEX('Picks &amp; Scores'!$B$4:$B$32,MATCH(LARGE('Picks &amp; Scores'!$M$4:$M$32,17),'Picks &amp; Scores'!$M$4:$M$32,0)),"")</f>
        <v>Liz Bugler</v>
      </c>
      <c r="C19" s="29">
        <f>IFERROR(LARGE('Picks &amp; Scores'!$M$4:$M$32,17),"")</f>
        <v>0</v>
      </c>
      <c r="D19" s="30">
        <f ca="1">IFERROR(COUNTIF(OFFSET('Picks &amp; Scores'!$D$4:$L$32,MATCH(C19,'Picks &amp; Scores'!$M$4:$M$32,0)-1,0,1,11),10),"")</f>
        <v>0</v>
      </c>
    </row>
    <row r="20" spans="1:4" ht="18" x14ac:dyDescent="0.3">
      <c r="A20" s="23">
        <v>18</v>
      </c>
      <c r="B20" s="24" t="str">
        <f>IFERROR(INDEX('Picks &amp; Scores'!$B$4:$B$32,MATCH(LARGE('Picks &amp; Scores'!$M$4:$M$32,18),'Picks &amp; Scores'!$M$4:$M$32,0)),"")</f>
        <v>Liz Bugler</v>
      </c>
      <c r="C20" s="25">
        <f>IFERROR(LARGE('Picks &amp; Scores'!$M$4:$M$32,18),"")</f>
        <v>0</v>
      </c>
      <c r="D20" s="26">
        <f ca="1">IFERROR(COUNTIF(OFFSET('Picks &amp; Scores'!$D$4:$L$32,MATCH(C20,'Picks &amp; Scores'!$M$4:$M$32,0)-1,0,1,11),10),"")</f>
        <v>0</v>
      </c>
    </row>
    <row r="21" spans="1:4" ht="18" x14ac:dyDescent="0.3">
      <c r="A21" s="27">
        <v>19</v>
      </c>
      <c r="B21" s="28" t="str">
        <f>IFERROR(INDEX('Picks &amp; Scores'!$B$4:$B$32,MATCH(LARGE('Picks &amp; Scores'!$M$4:$M$32,19),'Picks &amp; Scores'!$M$4:$M$32,0)),"")</f>
        <v>Liz Bugler</v>
      </c>
      <c r="C21" s="29">
        <f>IFERROR(LARGE('Picks &amp; Scores'!$M$4:$M$32,19),"")</f>
        <v>0</v>
      </c>
      <c r="D21" s="30">
        <f ca="1">IFERROR(COUNTIF(OFFSET('Picks &amp; Scores'!$D$4:$L$32,MATCH(C21,'Picks &amp; Scores'!$M$4:$M$32,0)-1,0,1,11),10),"")</f>
        <v>0</v>
      </c>
    </row>
    <row r="22" spans="1:4" ht="18" x14ac:dyDescent="0.3">
      <c r="A22" s="23">
        <v>20</v>
      </c>
      <c r="B22" s="24" t="str">
        <f>IFERROR(INDEX('Picks &amp; Scores'!$B$4:$B$32,MATCH(LARGE('Picks &amp; Scores'!$M$4:$M$32,20),'Picks &amp; Scores'!$M$4:$M$32,0)),"")</f>
        <v>Liz Bugler</v>
      </c>
      <c r="C22" s="25">
        <f>IFERROR(LARGE('Picks &amp; Scores'!$M$4:$M$32,20),"")</f>
        <v>0</v>
      </c>
      <c r="D22" s="26">
        <f ca="1">IFERROR(COUNTIF(OFFSET('Picks &amp; Scores'!$D$4:$L$32,MATCH(C22,'Picks &amp; Scores'!$M$4:$M$32,0)-1,0,1,11),10),"")</f>
        <v>0</v>
      </c>
    </row>
    <row r="23" spans="1:4" ht="18" x14ac:dyDescent="0.3">
      <c r="A23" s="27">
        <v>21</v>
      </c>
      <c r="B23" s="28" t="str">
        <f>IFERROR(INDEX('Picks &amp; Scores'!$B$4:$B$32,MATCH(LARGE('Picks &amp; Scores'!$M$4:$M$32,21),'Picks &amp; Scores'!$M$4:$M$32,0)),"")</f>
        <v>Liz Bugler</v>
      </c>
      <c r="C23" s="29">
        <f>IFERROR(LARGE('Picks &amp; Scores'!$M$4:$M$32,21),"")</f>
        <v>0</v>
      </c>
      <c r="D23" s="30">
        <f ca="1">IFERROR(COUNTIF(OFFSET('Picks &amp; Scores'!$D$4:$L$32,MATCH(C23,'Picks &amp; Scores'!$M$4:$M$32,0)-1,0,1,11),10),"")</f>
        <v>0</v>
      </c>
    </row>
    <row r="24" spans="1:4" ht="18" x14ac:dyDescent="0.3">
      <c r="A24" s="23">
        <v>22</v>
      </c>
      <c r="B24" s="24" t="str">
        <f>IFERROR(INDEX('Picks &amp; Scores'!$B$4:$B$32,MATCH(LARGE('Picks &amp; Scores'!$M$4:$M$32,22),'Picks &amp; Scores'!$M$4:$M$32,0)),"")</f>
        <v>Liz Bugler</v>
      </c>
      <c r="C24" s="25">
        <f>IFERROR(LARGE('Picks &amp; Scores'!$M$4:$M$32,22),"")</f>
        <v>0</v>
      </c>
      <c r="D24" s="26">
        <f ca="1">IFERROR(COUNTIF(OFFSET('Picks &amp; Scores'!$D$4:$L$32,MATCH(C24,'Picks &amp; Scores'!$M$4:$M$32,0)-1,0,1,11),10),"")</f>
        <v>0</v>
      </c>
    </row>
    <row r="25" spans="1:4" ht="18" x14ac:dyDescent="0.3">
      <c r="A25" s="27">
        <v>23</v>
      </c>
      <c r="B25" s="28" t="str">
        <f>IFERROR(INDEX('Picks &amp; Scores'!$B$4:$B$32,MATCH(LARGE('Picks &amp; Scores'!$M$4:$M$32,23),'Picks &amp; Scores'!$M$4:$M$32,0)),"")</f>
        <v>Liz Bugler</v>
      </c>
      <c r="C25" s="29">
        <f>IFERROR(LARGE('Picks &amp; Scores'!$M$4:$M$32,23),"")</f>
        <v>0</v>
      </c>
      <c r="D25" s="30">
        <f ca="1">IFERROR(COUNTIF(OFFSET('Picks &amp; Scores'!$D$4:$L$32,MATCH(C25,'Picks &amp; Scores'!$M$4:$M$32,0)-1,0,1,11),10),"")</f>
        <v>0</v>
      </c>
    </row>
    <row r="26" spans="1:4" ht="18" x14ac:dyDescent="0.3">
      <c r="A26" s="23">
        <v>24</v>
      </c>
      <c r="B26" s="24" t="str">
        <f>IFERROR(INDEX('Picks &amp; Scores'!$B$4:$B$32,MATCH(LARGE('Picks &amp; Scores'!$M$4:$M$32,24),'Picks &amp; Scores'!$M$4:$M$32,0)),"")</f>
        <v>Liz Bugler</v>
      </c>
      <c r="C26" s="25">
        <f>IFERROR(LARGE('Picks &amp; Scores'!$M$4:$M$32,24),"")</f>
        <v>0</v>
      </c>
      <c r="D26" s="26">
        <f ca="1">IFERROR(COUNTIF(OFFSET('Picks &amp; Scores'!$D$4:$L$32,MATCH(C26,'Picks &amp; Scores'!$M$4:$M$32,0)-1,0,1,11),10),"")</f>
        <v>0</v>
      </c>
    </row>
    <row r="27" spans="1:4" ht="18" x14ac:dyDescent="0.3">
      <c r="A27" s="27">
        <v>25</v>
      </c>
      <c r="B27" s="28" t="str">
        <f>IFERROR(INDEX('Picks &amp; Scores'!$B$4:$B$32,MATCH(LARGE('Picks &amp; Scores'!$M$4:$M$32,25),'Picks &amp; Scores'!$M$4:$M$32,0)),"")</f>
        <v>Liz Bugler</v>
      </c>
      <c r="C27" s="29">
        <f>IFERROR(LARGE('Picks &amp; Scores'!$M$4:$M$32,25),"")</f>
        <v>0</v>
      </c>
      <c r="D27" s="30">
        <f ca="1">IFERROR(COUNTIF(OFFSET('Picks &amp; Scores'!$D$4:$L$32,MATCH(C27,'Picks &amp; Scores'!$M$4:$M$32,0)-1,0,1,11),10),"")</f>
        <v>0</v>
      </c>
    </row>
    <row r="28" spans="1:4" ht="18" x14ac:dyDescent="0.3">
      <c r="A28" s="23">
        <v>26</v>
      </c>
      <c r="B28" s="24" t="str">
        <f>IFERROR(INDEX('Picks &amp; Scores'!$B$4:$B$32,MATCH(LARGE('Picks &amp; Scores'!$M$4:$M$32,26),'Picks &amp; Scores'!$M$4:$M$32,0)),"")</f>
        <v>Liz Bugler</v>
      </c>
      <c r="C28" s="25">
        <f>IFERROR(LARGE('Picks &amp; Scores'!$M$4:$M$32,26),"")</f>
        <v>0</v>
      </c>
      <c r="D28" s="26">
        <f ca="1">IFERROR(COUNTIF(OFFSET('Picks &amp; Scores'!$D$4:$L$32,MATCH(C28,'Picks &amp; Scores'!$M$4:$M$32,0)-1,0,1,11),10),"")</f>
        <v>0</v>
      </c>
    </row>
    <row r="29" spans="1:4" ht="18" x14ac:dyDescent="0.3">
      <c r="A29" s="27">
        <v>27</v>
      </c>
      <c r="B29" s="28" t="str">
        <f>IFERROR(INDEX('Picks &amp; Scores'!$B$4:$B$32,MATCH(LARGE('Picks &amp; Scores'!$M$4:$M$32,27),'Picks &amp; Scores'!$M$4:$M$32,0)),"")</f>
        <v>Liz Bugler</v>
      </c>
      <c r="C29" s="29">
        <f>IFERROR(LARGE('Picks &amp; Scores'!$M$4:$M$32,27),"")</f>
        <v>0</v>
      </c>
      <c r="D29" s="30">
        <f ca="1">IFERROR(COUNTIF(OFFSET('Picks &amp; Scores'!$D$4:$L$32,MATCH(C29,'Picks &amp; Scores'!$M$4:$M$32,0)-1,0,1,11),10),"")</f>
        <v>0</v>
      </c>
    </row>
    <row r="30" spans="1:4" ht="18" x14ac:dyDescent="0.3">
      <c r="A30" s="23">
        <v>28</v>
      </c>
      <c r="B30" s="24" t="str">
        <f>IFERROR(INDEX('Picks &amp; Scores'!$B$4:$B$32,MATCH(LARGE('Picks &amp; Scores'!$M$4:$M$32,28),'Picks &amp; Scores'!$M$4:$M$32,0)),"")</f>
        <v>Liz Bugler</v>
      </c>
      <c r="C30" s="25">
        <f>IFERROR(LARGE('Picks &amp; Scores'!$M$4:$M$32,28),"")</f>
        <v>0</v>
      </c>
      <c r="D30" s="26">
        <f ca="1">IFERROR(COUNTIF(OFFSET('Picks &amp; Scores'!$D$4:$L$32,MATCH(C30,'Picks &amp; Scores'!$M$4:$M$32,0)-1,0,1,11),10),"")</f>
        <v>0</v>
      </c>
    </row>
    <row r="31" spans="1:4" ht="18" x14ac:dyDescent="0.3">
      <c r="A31" s="27">
        <v>29</v>
      </c>
      <c r="B31" s="28" t="str">
        <f>IFERROR(INDEX('Picks &amp; Scores'!$B$4:$B$32,MATCH(LARGE('Picks &amp; Scores'!$M$4:$M$32,29),'Picks &amp; Scores'!$M$4:$M$32,0)),"")</f>
        <v>Liz Bugler</v>
      </c>
      <c r="C31" s="29">
        <f>IFERROR(LARGE('Picks &amp; Scores'!$M$4:$M$32,29),"")</f>
        <v>0</v>
      </c>
      <c r="D31" s="30">
        <f ca="1">IFERROR(COUNTIF(OFFSET('Picks &amp; Scores'!$D$4:$L$32,MATCH(C31,'Picks &amp; Scores'!$M$4:$M$32,0)-1,0,1,11),10),"")</f>
        <v>0</v>
      </c>
    </row>
    <row r="32" spans="1:4" ht="18" x14ac:dyDescent="0.3">
      <c r="A32" s="23">
        <v>30</v>
      </c>
      <c r="B32" s="24" t="str">
        <f>IFERROR(INDEX('Picks &amp; Scores'!$B$4:$B$32,MATCH(LARGE('Picks &amp; Scores'!$M$4:$M$32,30),'Picks &amp; Scores'!$M$4:$M$32,0)),"")</f>
        <v/>
      </c>
      <c r="C32" s="25" t="str">
        <f>IFERROR(LARGE('Picks &amp; Scores'!$M$4:$M$32,30),"")</f>
        <v/>
      </c>
      <c r="D32" s="26" t="str">
        <f ca="1">IFERROR(COUNTIF(OFFSET('Picks &amp; Scores'!$D$4:$L$32,MATCH(C32,'Picks &amp; Scores'!$M$4:$M$32,0)-1,0,1,11),10),"")</f>
        <v/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2026-06-18T13:40:51Z</dcterms:modified>
  <dc:language>en-US</dc:language>
</cp:coreProperties>
</file>