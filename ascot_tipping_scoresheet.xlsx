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oresystems-my.sharepoint.com/personal/amye_dyrmishi_koresystems_com/Documents/Documents/Events/Ascot Networking Day 18.06.2026/Tipping Competition/"/>
    </mc:Choice>
  </mc:AlternateContent>
  <xr:revisionPtr revIDLastSave="327" documentId="13_ncr:1_{D69588C9-C99A-444E-8716-C3CC7EB9F9ED}" xr6:coauthVersionLast="47" xr6:coauthVersionMax="47" xr10:uidLastSave="{199CACA1-DBB5-45A8-8B96-4F015C0848B0}"/>
  <bookViews>
    <workbookView xWindow="-28920" yWindow="-120" windowWidth="29040" windowHeight="15720" tabRatio="500" activeTab="3" xr2:uid="{00000000-000D-0000-FFFF-FFFF00000000}"/>
  </bookViews>
  <sheets>
    <sheet name="Guest List" sheetId="1" r:id="rId1"/>
    <sheet name="Race Card" sheetId="2" r:id="rId2"/>
    <sheet name="Race Results" sheetId="3" r:id="rId3"/>
    <sheet name="Picks &amp; Scores" sheetId="4" r:id="rId4"/>
    <sheet name="Leaderboard" sheetId="5" r:id="rId5"/>
    <sheet name="How To U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3" i="4" l="1"/>
  <c r="J33" i="4"/>
  <c r="H33" i="4"/>
  <c r="F33" i="4"/>
  <c r="D33" i="4"/>
  <c r="L32" i="4"/>
  <c r="J32" i="4"/>
  <c r="H32" i="4"/>
  <c r="F32" i="4"/>
  <c r="D32" i="4"/>
  <c r="L31" i="4"/>
  <c r="J31" i="4"/>
  <c r="H31" i="4"/>
  <c r="F31" i="4"/>
  <c r="D31" i="4"/>
  <c r="L30" i="4"/>
  <c r="J30" i="4"/>
  <c r="H30" i="4"/>
  <c r="F30" i="4"/>
  <c r="D30" i="4"/>
  <c r="L29" i="4"/>
  <c r="J29" i="4"/>
  <c r="H29" i="4"/>
  <c r="F29" i="4"/>
  <c r="D29" i="4"/>
  <c r="L28" i="4"/>
  <c r="J28" i="4"/>
  <c r="H28" i="4"/>
  <c r="F28" i="4"/>
  <c r="D28" i="4"/>
  <c r="L27" i="4"/>
  <c r="J27" i="4"/>
  <c r="H27" i="4"/>
  <c r="F27" i="4"/>
  <c r="D27" i="4"/>
  <c r="L26" i="4"/>
  <c r="J26" i="4"/>
  <c r="H26" i="4"/>
  <c r="F26" i="4"/>
  <c r="D26" i="4"/>
  <c r="L25" i="4"/>
  <c r="J25" i="4"/>
  <c r="H25" i="4"/>
  <c r="F25" i="4"/>
  <c r="D25" i="4"/>
  <c r="L24" i="4"/>
  <c r="J24" i="4"/>
  <c r="H24" i="4"/>
  <c r="F24" i="4"/>
  <c r="D24" i="4"/>
  <c r="L23" i="4"/>
  <c r="J23" i="4"/>
  <c r="H23" i="4"/>
  <c r="F23" i="4"/>
  <c r="D23" i="4"/>
  <c r="L22" i="4"/>
  <c r="J22" i="4"/>
  <c r="H22" i="4"/>
  <c r="F22" i="4"/>
  <c r="D22" i="4"/>
  <c r="L21" i="4"/>
  <c r="J21" i="4"/>
  <c r="H21" i="4"/>
  <c r="F21" i="4"/>
  <c r="D21" i="4"/>
  <c r="L20" i="4"/>
  <c r="J20" i="4"/>
  <c r="H20" i="4"/>
  <c r="F20" i="4"/>
  <c r="D20" i="4"/>
  <c r="L19" i="4"/>
  <c r="J19" i="4"/>
  <c r="H19" i="4"/>
  <c r="F19" i="4"/>
  <c r="D19" i="4"/>
  <c r="L18" i="4"/>
  <c r="J18" i="4"/>
  <c r="H18" i="4"/>
  <c r="F18" i="4"/>
  <c r="D18" i="4"/>
  <c r="L17" i="4"/>
  <c r="J17" i="4"/>
  <c r="H17" i="4"/>
  <c r="F17" i="4"/>
  <c r="D17" i="4"/>
  <c r="L16" i="4"/>
  <c r="J16" i="4"/>
  <c r="H16" i="4"/>
  <c r="F16" i="4"/>
  <c r="D16" i="4"/>
  <c r="L15" i="4"/>
  <c r="J15" i="4"/>
  <c r="H15" i="4"/>
  <c r="F15" i="4"/>
  <c r="D15" i="4"/>
  <c r="L14" i="4"/>
  <c r="J14" i="4"/>
  <c r="H14" i="4"/>
  <c r="F14" i="4"/>
  <c r="D14" i="4"/>
  <c r="L13" i="4"/>
  <c r="J13" i="4"/>
  <c r="H13" i="4"/>
  <c r="F13" i="4"/>
  <c r="D13" i="4"/>
  <c r="L12" i="4"/>
  <c r="J12" i="4"/>
  <c r="H12" i="4"/>
  <c r="F12" i="4"/>
  <c r="D12" i="4"/>
  <c r="L11" i="4"/>
  <c r="J11" i="4"/>
  <c r="H11" i="4"/>
  <c r="F11" i="4"/>
  <c r="D11" i="4"/>
  <c r="L10" i="4"/>
  <c r="J10" i="4"/>
  <c r="H10" i="4"/>
  <c r="F10" i="4"/>
  <c r="D10" i="4"/>
  <c r="L9" i="4"/>
  <c r="J9" i="4"/>
  <c r="H9" i="4"/>
  <c r="F9" i="4"/>
  <c r="D9" i="4"/>
  <c r="L8" i="4"/>
  <c r="J8" i="4"/>
  <c r="H8" i="4"/>
  <c r="F8" i="4"/>
  <c r="D8" i="4"/>
  <c r="L7" i="4"/>
  <c r="J7" i="4"/>
  <c r="H7" i="4"/>
  <c r="F7" i="4"/>
  <c r="D7" i="4"/>
  <c r="L6" i="4"/>
  <c r="J6" i="4"/>
  <c r="H6" i="4"/>
  <c r="F6" i="4"/>
  <c r="D6" i="4"/>
  <c r="L5" i="4"/>
  <c r="J5" i="4"/>
  <c r="H5" i="4"/>
  <c r="F5" i="4"/>
  <c r="D5" i="4"/>
  <c r="L4" i="4"/>
  <c r="J4" i="4"/>
  <c r="H4" i="4"/>
  <c r="F4" i="4"/>
  <c r="D4" i="4"/>
  <c r="M33" i="4" l="1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5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4" i="4"/>
  <c r="C3" i="5" l="1"/>
  <c r="D3" i="5" s="1"/>
  <c r="C4" i="5"/>
  <c r="D4" i="5" s="1"/>
  <c r="B6" i="5"/>
  <c r="B7" i="5"/>
  <c r="C7" i="5"/>
  <c r="D7" i="5" s="1"/>
  <c r="B8" i="5"/>
  <c r="C8" i="5"/>
  <c r="D8" i="5" s="1"/>
  <c r="B9" i="5"/>
  <c r="C9" i="5"/>
  <c r="D9" i="5" s="1"/>
  <c r="B10" i="5"/>
  <c r="C10" i="5"/>
  <c r="D10" i="5" s="1"/>
  <c r="B11" i="5"/>
  <c r="C11" i="5"/>
  <c r="D11" i="5" s="1"/>
  <c r="B12" i="5"/>
  <c r="C12" i="5"/>
  <c r="D12" i="5" s="1"/>
  <c r="B13" i="5"/>
  <c r="C13" i="5"/>
  <c r="D13" i="5" s="1"/>
  <c r="B5" i="5"/>
  <c r="C5" i="5"/>
  <c r="D5" i="5" s="1"/>
  <c r="B14" i="5"/>
  <c r="C14" i="5"/>
  <c r="D14" i="5" s="1"/>
  <c r="C16" i="5"/>
  <c r="D16" i="5" s="1"/>
  <c r="B17" i="5"/>
  <c r="C17" i="5"/>
  <c r="D17" i="5" s="1"/>
  <c r="C18" i="5"/>
  <c r="D18" i="5" s="1"/>
  <c r="C29" i="5"/>
  <c r="D29" i="5" s="1"/>
  <c r="C30" i="5"/>
  <c r="D30" i="5" s="1"/>
  <c r="C31" i="5"/>
  <c r="D31" i="5" s="1"/>
  <c r="C15" i="5"/>
  <c r="D15" i="5" s="1"/>
  <c r="B3" i="5"/>
  <c r="C6" i="5"/>
  <c r="D6" i="5" s="1"/>
  <c r="B15" i="5"/>
  <c r="B16" i="5"/>
  <c r="B18" i="5"/>
  <c r="B20" i="5"/>
  <c r="B21" i="5"/>
  <c r="B23" i="5"/>
  <c r="C24" i="5"/>
  <c r="D24" i="5" s="1"/>
  <c r="C25" i="5"/>
  <c r="D25" i="5" s="1"/>
  <c r="C26" i="5"/>
  <c r="D26" i="5" s="1"/>
  <c r="B28" i="5"/>
  <c r="B30" i="5"/>
  <c r="B31" i="5"/>
  <c r="B32" i="5"/>
  <c r="B4" i="5"/>
  <c r="B19" i="5"/>
  <c r="C19" i="5"/>
  <c r="D19" i="5" s="1"/>
  <c r="C20" i="5"/>
  <c r="D20" i="5" s="1"/>
  <c r="C21" i="5"/>
  <c r="D21" i="5" s="1"/>
  <c r="B22" i="5"/>
  <c r="C22" i="5"/>
  <c r="D22" i="5" s="1"/>
  <c r="C23" i="5"/>
  <c r="D23" i="5" s="1"/>
  <c r="B24" i="5"/>
  <c r="B25" i="5"/>
  <c r="B26" i="5"/>
  <c r="B27" i="5"/>
  <c r="C27" i="5"/>
  <c r="D27" i="5" s="1"/>
  <c r="C28" i="5"/>
  <c r="D28" i="5" s="1"/>
  <c r="B29" i="5"/>
  <c r="C32" i="5"/>
  <c r="D32" i="5" s="1"/>
</calcChain>
</file>

<file path=xl/sharedStrings.xml><?xml version="1.0" encoding="utf-8"?>
<sst xmlns="http://schemas.openxmlformats.org/spreadsheetml/2006/main" count="382" uniqueCount="190">
  <si>
    <t>CONFIRMED GUESTS</t>
  </si>
  <si>
    <t>Paste your guest list below (one name per row)</t>
  </si>
  <si>
    <t>#</t>
  </si>
  <si>
    <t>Guest Name</t>
  </si>
  <si>
    <t>RACE CARD — Enter horse names the day before</t>
  </si>
  <si>
    <t>Fill in the horse names for each race below. These power the dropdown menus on the Picks &amp; Scores tab.</t>
  </si>
  <si>
    <t>RACE RESULTS — Enter after each race</t>
  </si>
  <si>
    <t>SCORING:  1st = 10 pts  |  2nd = 6 pts  |  3rd = 4 pts  |  4th = 3 pts  |  5th = 2 pts  |  6th = 1 pt</t>
  </si>
  <si>
    <t>Race</t>
  </si>
  <si>
    <t>1st (10pts)</t>
  </si>
  <si>
    <t>2nd (6pts)</t>
  </si>
  <si>
    <t>3rd (4pts)</t>
  </si>
  <si>
    <t>4th (3pts)</t>
  </si>
  <si>
    <t>5th (2pts)</t>
  </si>
  <si>
    <t>6th (1pt)</t>
  </si>
  <si>
    <t>Type or select the finishing horses after each race. Points calculate automatically.</t>
  </si>
  <si>
    <t>ASCOT LADIES DAY 2026 — TIPPING COMPETITION</t>
  </si>
  <si>
    <t>SCORING:  1st = 10  |  2nd = 6  |  3rd = 4  |  4th = 3  |  5th = 2  |  6th = 1  |  Outside top 6 = 0</t>
  </si>
  <si>
    <t>Pts</t>
  </si>
  <si>
    <t>King George V Pick</t>
  </si>
  <si>
    <t>Ribblesdale Stakes Pick</t>
  </si>
  <si>
    <t>Gold Cup Pick</t>
  </si>
  <si>
    <t>Britannia Stakes Pick</t>
  </si>
  <si>
    <t>TOTAL</t>
  </si>
  <si>
    <t>LEADERBOARD</t>
  </si>
  <si>
    <t>Rank</t>
  </si>
  <si>
    <t>Guest</t>
  </si>
  <si>
    <t>Total Points</t>
  </si>
  <si>
    <t>Winners</t>
  </si>
  <si>
    <t>HOW TO USE THIS SCORESHEET</t>
  </si>
  <si>
    <t>BEFORE THE EVENT:</t>
  </si>
  <si>
    <t>1. Go to the 'Guest List' tab and paste your confirmed guest names in column B</t>
  </si>
  <si>
    <t>2. Go to the 'Race Card' tab and type in the horse names for each race (published the day before)</t>
  </si>
  <si>
    <t xml:space="preserve">   This powers the dropdown menus so you just click to select on the day — no typing horse names!</t>
  </si>
  <si>
    <t>ON THE DAY — FOR EACH RACE:</t>
  </si>
  <si>
    <t>1. Hand out that race's printed card to each table</t>
  </si>
  <si>
    <t>2. Give people a few minutes, then collect the cards</t>
  </si>
  <si>
    <t>3. Go to the 'Picks &amp; Scores' tab</t>
  </si>
  <si>
    <t>4. For each guest, use the DROPDOWN to select their horse pick (no typing needed!)</t>
  </si>
  <si>
    <t>5. After the race, go to the 'Race Results' tab</t>
  </si>
  <si>
    <t>6. Use the DROPDOWN to select 1st through 6th place horses</t>
  </si>
  <si>
    <t>7. Points calculate automatically! Check the 'Leaderboard' tab</t>
  </si>
  <si>
    <t>SCORING:</t>
  </si>
  <si>
    <t>• 1st place pick = 10 points</t>
  </si>
  <si>
    <t>• 2nd place pick = 6 points</t>
  </si>
  <si>
    <t>• 3rd place pick = 4 points</t>
  </si>
  <si>
    <t>• 4th place pick = 3 points</t>
  </si>
  <si>
    <t>• 5th place pick = 2 points</t>
  </si>
  <si>
    <t>• 6th place pick = 1 point</t>
  </si>
  <si>
    <t>• Outside top 6 = 0 points</t>
  </si>
  <si>
    <t>• Maximum possible score = 60 points (6 winners)</t>
  </si>
  <si>
    <t>THE 6 RACES:</t>
  </si>
  <si>
    <t>Race 1: Norfolk Stakes (G2) — 14:30</t>
  </si>
  <si>
    <t>Race 2: King George V Stakes Handicap — 15:05</t>
  </si>
  <si>
    <t>Race 3: Ribblesdale Stakes (G2) — 15:40</t>
  </si>
  <si>
    <t>Race 4: Ascot Gold Cup (G1) — 16:20</t>
  </si>
  <si>
    <t>Race 5: Britannia Stakes (Heritage Handicap) — 17:00</t>
  </si>
  <si>
    <t>Race 6: Hampton Court Stakes (G3) — 17:35</t>
  </si>
  <si>
    <t>TIEBREAKER: Most winners picked (10-point scores). If still tied, split the prize.</t>
  </si>
  <si>
    <t>IMPORTANT TIPS:</t>
  </si>
  <si>
    <t>• Use the dropdowns — they prevent spelling mistakes between picks and results</t>
  </si>
  <si>
    <t>• Don't delete or move any columns — the formulas will break</t>
  </si>
  <si>
    <t>• The green 'Pts' columns are automatic — don't type in them</t>
  </si>
  <si>
    <t>• If someone's pick shows 0 points, check the spelling matches the result exactly</t>
  </si>
  <si>
    <t>Robb Topp</t>
  </si>
  <si>
    <t>Marianne Chardon</t>
  </si>
  <si>
    <t>Ronan Keohane</t>
  </si>
  <si>
    <t>Sean Horan</t>
  </si>
  <si>
    <t>Anthony Burke</t>
  </si>
  <si>
    <t>Denise White</t>
  </si>
  <si>
    <t>Bryan White</t>
  </si>
  <si>
    <t>Ryan Crowley</t>
  </si>
  <si>
    <t>Vahi Crowley</t>
  </si>
  <si>
    <t>David Owens</t>
  </si>
  <si>
    <t>Ivan Bogdanov</t>
  </si>
  <si>
    <t>Stephen Hughes</t>
  </si>
  <si>
    <t>David Hughes</t>
  </si>
  <si>
    <t>Gemma Forsyth</t>
  </si>
  <si>
    <t>Andy Bugler</t>
  </si>
  <si>
    <t>Liz Bugler</t>
  </si>
  <si>
    <t>Emily Sardo</t>
  </si>
  <si>
    <t>Darren Gill</t>
  </si>
  <si>
    <t>Lynn Forsyth</t>
  </si>
  <si>
    <t>Peter Goode</t>
  </si>
  <si>
    <t>Steve Burfitt</t>
  </si>
  <si>
    <t>Mick Hogg</t>
  </si>
  <si>
    <t>Liam Bridgeman</t>
  </si>
  <si>
    <t>Steve Hunt</t>
  </si>
  <si>
    <t>Jack Webb</t>
  </si>
  <si>
    <t>Jamie Jordan</t>
  </si>
  <si>
    <t>Jade Dally</t>
  </si>
  <si>
    <t>Chesham Stakes Pick</t>
  </si>
  <si>
    <t>The Chesham Stakes
(14:30)</t>
  </si>
  <si>
    <t>The King George V Stakes
(15:05)</t>
  </si>
  <si>
    <t>The Ribblesdale Stakes
(15:40)</t>
  </si>
  <si>
    <t>The Gold Cup
(16:15)</t>
  </si>
  <si>
    <t>The Britannia Stakes
(16:50)</t>
  </si>
  <si>
    <t>Aix La Chapelle</t>
  </si>
  <si>
    <t>Celtic Charioteer</t>
  </si>
  <si>
    <t>Nola Soul</t>
  </si>
  <si>
    <t>On Just Terms</t>
  </si>
  <si>
    <t>Pikachu</t>
  </si>
  <si>
    <t>Revels</t>
  </si>
  <si>
    <t>Romanza</t>
  </si>
  <si>
    <t>South Dakota</t>
  </si>
  <si>
    <t>Sword Salute</t>
  </si>
  <si>
    <t>Sydney Carton</t>
  </si>
  <si>
    <t>Time For The Moon</t>
  </si>
  <si>
    <t>Whispering Moon</t>
  </si>
  <si>
    <t>Aperoll</t>
  </si>
  <si>
    <t>Bayside</t>
  </si>
  <si>
    <t>Sea Venture</t>
  </si>
  <si>
    <t>Guildmaster</t>
  </si>
  <si>
    <t>Tierra Del Toro</t>
  </si>
  <si>
    <t>Cannes</t>
  </si>
  <si>
    <t>Birgham Dub</t>
  </si>
  <si>
    <t>Al Azd</t>
  </si>
  <si>
    <t>Joulany</t>
  </si>
  <si>
    <t>Amora Queen</t>
  </si>
  <si>
    <t>Atomic City</t>
  </si>
  <si>
    <t>Dial Me In</t>
  </si>
  <si>
    <t>Enceladus</t>
  </si>
  <si>
    <t>Believed</t>
  </si>
  <si>
    <t>Into The Light</t>
  </si>
  <si>
    <t>Golden Knight</t>
  </si>
  <si>
    <t>Waterford Castle</t>
  </si>
  <si>
    <t>Genchev</t>
  </si>
  <si>
    <t>Arc Ole Ole</t>
  </si>
  <si>
    <t>Heyzoom</t>
  </si>
  <si>
    <t>Galilean Quality</t>
  </si>
  <si>
    <t>Blue Hercules</t>
  </si>
  <si>
    <t>Who's Lope</t>
  </si>
  <si>
    <t>Charles Darnay</t>
  </si>
  <si>
    <t>Bnaider</t>
  </si>
  <si>
    <t>Brilliant Star</t>
  </si>
  <si>
    <t>Composing</t>
  </si>
  <si>
    <t>Dark Lucinda</t>
  </si>
  <si>
    <t>Earth Shot</t>
  </si>
  <si>
    <t>Gilded Prize</t>
  </si>
  <si>
    <t>Golden Orbit</t>
  </si>
  <si>
    <t>Johanna Walsh</t>
  </si>
  <si>
    <t>Lady Roisia</t>
  </si>
  <si>
    <t>Legacy Link</t>
  </si>
  <si>
    <t>Maldives</t>
  </si>
  <si>
    <t>Venetia</t>
  </si>
  <si>
    <t>Warriors Whisper</t>
  </si>
  <si>
    <t>Al Nayyir</t>
  </si>
  <si>
    <t>Al Riffa</t>
  </si>
  <si>
    <t>Caballo De Mar</t>
  </si>
  <si>
    <t>Dubai Future</t>
  </si>
  <si>
    <t>Sweet William</t>
  </si>
  <si>
    <t>Trawlerman</t>
  </si>
  <si>
    <t>Carmers</t>
  </si>
  <si>
    <t>Furthur</t>
  </si>
  <si>
    <t>Rahiebb</t>
  </si>
  <si>
    <t>Scandinavia</t>
  </si>
  <si>
    <t>Miss Alpilles</t>
  </si>
  <si>
    <t>Pathein</t>
  </si>
  <si>
    <t>Wise Prince</t>
  </si>
  <si>
    <t>Organise</t>
  </si>
  <si>
    <t>Tales Of Wisdom</t>
  </si>
  <si>
    <t>Hilitany</t>
  </si>
  <si>
    <t>Flushing Meadows</t>
  </si>
  <si>
    <t>Laureate Crown</t>
  </si>
  <si>
    <t>Conclave</t>
  </si>
  <si>
    <t>New Connection</t>
  </si>
  <si>
    <t>We're Goosers</t>
  </si>
  <si>
    <t>Wechaad</t>
  </si>
  <si>
    <t>Richie's Rocket</t>
  </si>
  <si>
    <t>Victory Tip</t>
  </si>
  <si>
    <t>Langstone</t>
  </si>
  <si>
    <t>Charly</t>
  </si>
  <si>
    <t>Bobby McGee</t>
  </si>
  <si>
    <t>Blue Courvoisier</t>
  </si>
  <si>
    <t>Noelan Star</t>
  </si>
  <si>
    <t>Intense Vision</t>
  </si>
  <si>
    <t>Outback Heat</t>
  </si>
  <si>
    <t>St Anton</t>
  </si>
  <si>
    <t>Capall Rasa</t>
  </si>
  <si>
    <t>Runman</t>
  </si>
  <si>
    <t>New Monarch</t>
  </si>
  <si>
    <t>Vincenzo Peruggia</t>
  </si>
  <si>
    <t>Crest Of Fire</t>
  </si>
  <si>
    <t>Moonfall</t>
  </si>
  <si>
    <t>Lion Of Alba</t>
  </si>
  <si>
    <t>Jamestown</t>
  </si>
  <si>
    <t>Exclusive Code</t>
  </si>
  <si>
    <t>Winding Stream</t>
  </si>
  <si>
    <t>Synners Kid</t>
  </si>
  <si>
    <t>Wild Thoughts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</si>
</sst>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Georgia"/>
      <family val="1"/>
    </font>
    <font>
      <i/>
      <sz val="10"/>
      <color rgb="FF666666"/>
      <name val="Georgia"/>
      <family val="1"/>
    </font>
    <font>
      <b/>
      <sz val="11"/>
      <color rgb="FF1B4332"/>
      <name val="Georgia"/>
      <family val="1"/>
    </font>
    <font>
      <sz val="11"/>
      <color rgb="FF333333"/>
      <name val="Georgia"/>
      <family val="1"/>
    </font>
    <font>
      <b/>
      <sz val="16"/>
      <color rgb="FFFFFFFF"/>
      <name val="Georgia"/>
      <family val="1"/>
    </font>
    <font>
      <b/>
      <sz val="10"/>
      <color rgb="FF1B4332"/>
      <name val="Georgia"/>
      <family val="1"/>
    </font>
    <font>
      <b/>
      <sz val="10"/>
      <color rgb="FFFFFFFF"/>
      <name val="Georgia"/>
      <family val="1"/>
    </font>
    <font>
      <sz val="10"/>
      <color rgb="FF999999"/>
      <name val="Georgia"/>
      <family val="1"/>
    </font>
    <font>
      <i/>
      <sz val="10"/>
      <color rgb="FFC9A84C"/>
      <name val="Georgia"/>
      <family val="1"/>
    </font>
    <font>
      <b/>
      <sz val="11"/>
      <color rgb="FFC9A84C"/>
      <name val="Georgia"/>
      <family val="1"/>
    </font>
    <font>
      <i/>
      <sz val="10"/>
      <color rgb="FF999999"/>
      <name val="Georgia"/>
      <family val="1"/>
    </font>
    <font>
      <b/>
      <sz val="9"/>
      <color rgb="FFFFFFFF"/>
      <name val="Georgia"/>
      <family val="1"/>
    </font>
    <font>
      <b/>
      <sz val="12"/>
      <color rgb="FFFFFFFF"/>
      <name val="Georgia"/>
      <family val="1"/>
    </font>
    <font>
      <b/>
      <sz val="18"/>
      <color rgb="FFFFFFFF"/>
      <name val="Georgia"/>
      <family val="1"/>
    </font>
    <font>
      <b/>
      <sz val="12"/>
      <color rgb="FF1B4332"/>
      <name val="Georgia"/>
      <family val="1"/>
    </font>
    <font>
      <sz val="12"/>
      <name val="Georgia"/>
      <family val="1"/>
    </font>
    <font>
      <b/>
      <sz val="14"/>
      <color rgb="FF1B4332"/>
      <name val="Georgia"/>
      <family val="1"/>
    </font>
    <font>
      <sz val="11"/>
      <name val="Georgia"/>
      <family val="1"/>
    </font>
    <font>
      <b/>
      <sz val="13"/>
      <color rgb="FF1B4332"/>
      <name val="Georgia"/>
      <family val="1"/>
    </font>
    <font>
      <b/>
      <sz val="13"/>
      <color rgb="FFC0392B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rgb="FF1B4332"/>
        <bgColor rgb="FF333333"/>
      </patternFill>
    </fill>
    <fill>
      <patternFill patternType="solid">
        <fgColor rgb="FFF5ECD7"/>
        <bgColor rgb="FFE8F5E9"/>
      </patternFill>
    </fill>
    <fill>
      <patternFill patternType="solid">
        <fgColor rgb="FFFFF8E7"/>
        <bgColor rgb="FFFFFFFF"/>
      </patternFill>
    </fill>
    <fill>
      <patternFill patternType="solid">
        <fgColor rgb="FF2D6A4F"/>
        <bgColor rgb="FF666666"/>
      </patternFill>
    </fill>
    <fill>
      <patternFill patternType="solid">
        <fgColor rgb="FFFFFFFF"/>
        <bgColor rgb="FFFFF8E7"/>
      </patternFill>
    </fill>
    <fill>
      <patternFill patternType="solid">
        <fgColor rgb="FFE8F5E9"/>
        <bgColor rgb="FFF5ECD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20" fillId="0" borderId="0" xfId="0" applyFont="1"/>
    <xf numFmtId="0" fontId="5" fillId="2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11" fillId="0" borderId="0" xfId="0" applyFont="1"/>
    <xf numFmtId="0" fontId="14" fillId="2" borderId="0" xfId="0" applyFont="1" applyFill="1" applyAlignment="1">
      <alignment horizontal="center" vertical="center" wrapText="1"/>
    </xf>
    <xf numFmtId="0" fontId="1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8E7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CD7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C9A84C"/>
      <rgbColor rgb="FFFF6600"/>
      <rgbColor rgb="FF666666"/>
      <rgbColor rgb="FF999999"/>
      <rgbColor rgb="FF003366"/>
      <rgbColor rgb="FF339966"/>
      <rgbColor rgb="FF003300"/>
      <rgbColor rgb="FF1B4332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67CB7C-1FFA-404F-AB60-D09A002544A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ea980b1-2da0-4ef4-84a6-2e30376f1cf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1:B53"/>
  <sheetViews>
    <sheetView zoomScaleNormal="100" workbookViewId="0">
      <selection activeCell="B31" sqref="B31"/>
    </sheetView>
  </sheetViews>
  <sheetFormatPr defaultColWidth="8.6640625" defaultRowHeight="14.4" x14ac:dyDescent="0.3"/>
  <cols>
    <col min="1" max="1" width="6" customWidth="1"/>
    <col min="2" max="2" width="35" customWidth="1"/>
  </cols>
  <sheetData>
    <row r="1" spans="1:2" ht="17.850000000000001" customHeight="1" x14ac:dyDescent="0.3">
      <c r="A1" s="35" t="s">
        <v>0</v>
      </c>
      <c r="B1" s="35"/>
    </row>
    <row r="2" spans="1:2" x14ac:dyDescent="0.3">
      <c r="A2" s="36" t="s">
        <v>1</v>
      </c>
      <c r="B2" s="36"/>
    </row>
    <row r="3" spans="1:2" x14ac:dyDescent="0.3">
      <c r="A3" s="1" t="s">
        <v>2</v>
      </c>
      <c r="B3" s="1" t="s">
        <v>3</v>
      </c>
    </row>
    <row r="4" spans="1:2" x14ac:dyDescent="0.3">
      <c r="A4" s="2">
        <v>1</v>
      </c>
      <c r="B4" s="3" t="s">
        <v>64</v>
      </c>
    </row>
    <row r="5" spans="1:2" x14ac:dyDescent="0.3">
      <c r="A5" s="4">
        <v>2</v>
      </c>
      <c r="B5" s="5" t="s">
        <v>65</v>
      </c>
    </row>
    <row r="6" spans="1:2" x14ac:dyDescent="0.3">
      <c r="A6" s="2">
        <v>3</v>
      </c>
      <c r="B6" s="3" t="s">
        <v>66</v>
      </c>
    </row>
    <row r="7" spans="1:2" x14ac:dyDescent="0.3">
      <c r="A7" s="4">
        <v>4</v>
      </c>
      <c r="B7" s="5" t="s">
        <v>67</v>
      </c>
    </row>
    <row r="8" spans="1:2" x14ac:dyDescent="0.3">
      <c r="A8" s="2">
        <v>5</v>
      </c>
      <c r="B8" s="3" t="s">
        <v>68</v>
      </c>
    </row>
    <row r="9" spans="1:2" x14ac:dyDescent="0.3">
      <c r="A9" s="4">
        <v>6</v>
      </c>
      <c r="B9" s="5" t="s">
        <v>69</v>
      </c>
    </row>
    <row r="10" spans="1:2" x14ac:dyDescent="0.3">
      <c r="A10" s="2">
        <v>7</v>
      </c>
      <c r="B10" s="3" t="s">
        <v>70</v>
      </c>
    </row>
    <row r="11" spans="1:2" x14ac:dyDescent="0.3">
      <c r="A11" s="4">
        <v>8</v>
      </c>
      <c r="B11" s="5" t="s">
        <v>71</v>
      </c>
    </row>
    <row r="12" spans="1:2" x14ac:dyDescent="0.3">
      <c r="A12" s="2">
        <v>9</v>
      </c>
      <c r="B12" s="3" t="s">
        <v>72</v>
      </c>
    </row>
    <row r="13" spans="1:2" x14ac:dyDescent="0.3">
      <c r="A13" s="4">
        <v>10</v>
      </c>
      <c r="B13" s="5" t="s">
        <v>73</v>
      </c>
    </row>
    <row r="14" spans="1:2" x14ac:dyDescent="0.3">
      <c r="A14" s="2">
        <v>11</v>
      </c>
      <c r="B14" s="3" t="s">
        <v>74</v>
      </c>
    </row>
    <row r="15" spans="1:2" x14ac:dyDescent="0.3">
      <c r="A15" s="4">
        <v>12</v>
      </c>
      <c r="B15" s="5" t="s">
        <v>75</v>
      </c>
    </row>
    <row r="16" spans="1:2" x14ac:dyDescent="0.3">
      <c r="A16" s="2">
        <v>13</v>
      </c>
      <c r="B16" s="3" t="s">
        <v>76</v>
      </c>
    </row>
    <row r="17" spans="1:2" x14ac:dyDescent="0.3">
      <c r="A17" s="4">
        <v>14</v>
      </c>
      <c r="B17" s="5" t="s">
        <v>77</v>
      </c>
    </row>
    <row r="18" spans="1:2" x14ac:dyDescent="0.3">
      <c r="A18" s="2">
        <v>15</v>
      </c>
      <c r="B18" s="3" t="s">
        <v>78</v>
      </c>
    </row>
    <row r="19" spans="1:2" x14ac:dyDescent="0.3">
      <c r="A19" s="4">
        <v>16</v>
      </c>
      <c r="B19" s="5" t="s">
        <v>79</v>
      </c>
    </row>
    <row r="20" spans="1:2" x14ac:dyDescent="0.3">
      <c r="A20" s="2">
        <v>17</v>
      </c>
      <c r="B20" s="3" t="s">
        <v>80</v>
      </c>
    </row>
    <row r="21" spans="1:2" x14ac:dyDescent="0.3">
      <c r="A21" s="4">
        <v>18</v>
      </c>
      <c r="B21" s="5" t="s">
        <v>81</v>
      </c>
    </row>
    <row r="22" spans="1:2" x14ac:dyDescent="0.3">
      <c r="A22" s="2">
        <v>19</v>
      </c>
      <c r="B22" s="3" t="s">
        <v>82</v>
      </c>
    </row>
    <row r="23" spans="1:2" x14ac:dyDescent="0.3">
      <c r="A23" s="4">
        <v>20</v>
      </c>
      <c r="B23" s="5" t="s">
        <v>83</v>
      </c>
    </row>
    <row r="24" spans="1:2" x14ac:dyDescent="0.3">
      <c r="A24" s="2">
        <v>21</v>
      </c>
      <c r="B24" s="3" t="s">
        <v>84</v>
      </c>
    </row>
    <row r="25" spans="1:2" x14ac:dyDescent="0.3">
      <c r="A25" s="4">
        <v>22</v>
      </c>
      <c r="B25" s="5" t="s">
        <v>85</v>
      </c>
    </row>
    <row r="26" spans="1:2" x14ac:dyDescent="0.3">
      <c r="A26" s="2">
        <v>23</v>
      </c>
      <c r="B26" s="3" t="s">
        <v>86</v>
      </c>
    </row>
    <row r="27" spans="1:2" x14ac:dyDescent="0.3">
      <c r="A27" s="4">
        <v>24</v>
      </c>
      <c r="B27" s="3" t="s">
        <v>87</v>
      </c>
    </row>
    <row r="28" spans="1:2" x14ac:dyDescent="0.3">
      <c r="A28" s="2">
        <v>25</v>
      </c>
      <c r="B28" s="5" t="s">
        <v>88</v>
      </c>
    </row>
    <row r="29" spans="1:2" x14ac:dyDescent="0.3">
      <c r="A29" s="4">
        <v>26</v>
      </c>
      <c r="B29" s="3" t="s">
        <v>89</v>
      </c>
    </row>
    <row r="30" spans="1:2" x14ac:dyDescent="0.3">
      <c r="A30" s="2">
        <v>27</v>
      </c>
      <c r="B30" s="5" t="s">
        <v>90</v>
      </c>
    </row>
    <row r="31" spans="1:2" x14ac:dyDescent="0.3">
      <c r="A31" s="4">
        <v>28</v>
      </c>
      <c r="B31" s="5"/>
    </row>
    <row r="32" spans="1:2" x14ac:dyDescent="0.3">
      <c r="A32" s="2">
        <v>29</v>
      </c>
      <c r="B32" s="3"/>
    </row>
    <row r="33" spans="1:2" x14ac:dyDescent="0.3">
      <c r="A33" s="4">
        <v>30</v>
      </c>
      <c r="B33" s="5"/>
    </row>
    <row r="34" spans="1:2" x14ac:dyDescent="0.3">
      <c r="A34" s="2">
        <v>31</v>
      </c>
      <c r="B34" s="3"/>
    </row>
    <row r="35" spans="1:2" x14ac:dyDescent="0.3">
      <c r="A35" s="4">
        <v>32</v>
      </c>
      <c r="B35" s="5"/>
    </row>
    <row r="36" spans="1:2" x14ac:dyDescent="0.3">
      <c r="A36" s="2">
        <v>33</v>
      </c>
      <c r="B36" s="3"/>
    </row>
    <row r="37" spans="1:2" x14ac:dyDescent="0.3">
      <c r="A37" s="4">
        <v>34</v>
      </c>
      <c r="B37" s="5"/>
    </row>
    <row r="38" spans="1:2" x14ac:dyDescent="0.3">
      <c r="A38" s="2">
        <v>35</v>
      </c>
      <c r="B38" s="3"/>
    </row>
    <row r="39" spans="1:2" x14ac:dyDescent="0.3">
      <c r="A39" s="4">
        <v>36</v>
      </c>
      <c r="B39" s="5"/>
    </row>
    <row r="40" spans="1:2" x14ac:dyDescent="0.3">
      <c r="A40" s="2">
        <v>37</v>
      </c>
      <c r="B40" s="3"/>
    </row>
    <row r="41" spans="1:2" x14ac:dyDescent="0.3">
      <c r="A41" s="4">
        <v>38</v>
      </c>
      <c r="B41" s="5"/>
    </row>
    <row r="42" spans="1:2" x14ac:dyDescent="0.3">
      <c r="A42" s="2">
        <v>39</v>
      </c>
      <c r="B42" s="3"/>
    </row>
    <row r="43" spans="1:2" x14ac:dyDescent="0.3">
      <c r="A43" s="4">
        <v>40</v>
      </c>
      <c r="B43" s="5"/>
    </row>
    <row r="44" spans="1:2" x14ac:dyDescent="0.3">
      <c r="A44" s="2">
        <v>41</v>
      </c>
      <c r="B44" s="3"/>
    </row>
    <row r="45" spans="1:2" x14ac:dyDescent="0.3">
      <c r="A45" s="4">
        <v>42</v>
      </c>
      <c r="B45" s="5"/>
    </row>
    <row r="46" spans="1:2" x14ac:dyDescent="0.3">
      <c r="A46" s="2">
        <v>43</v>
      </c>
      <c r="B46" s="3"/>
    </row>
    <row r="47" spans="1:2" x14ac:dyDescent="0.3">
      <c r="A47" s="4">
        <v>44</v>
      </c>
      <c r="B47" s="5"/>
    </row>
    <row r="48" spans="1:2" x14ac:dyDescent="0.3">
      <c r="A48" s="2">
        <v>45</v>
      </c>
      <c r="B48" s="3"/>
    </row>
    <row r="49" spans="1:2" x14ac:dyDescent="0.3">
      <c r="A49" s="4">
        <v>46</v>
      </c>
      <c r="B49" s="5"/>
    </row>
    <row r="50" spans="1:2" x14ac:dyDescent="0.3">
      <c r="A50" s="2">
        <v>47</v>
      </c>
      <c r="B50" s="3"/>
    </row>
    <row r="51" spans="1:2" x14ac:dyDescent="0.3">
      <c r="A51" s="4">
        <v>48</v>
      </c>
      <c r="B51" s="5"/>
    </row>
    <row r="52" spans="1:2" x14ac:dyDescent="0.3">
      <c r="A52" s="2">
        <v>49</v>
      </c>
      <c r="B52" s="3"/>
    </row>
    <row r="53" spans="1:2" x14ac:dyDescent="0.3">
      <c r="A53" s="4">
        <v>50</v>
      </c>
      <c r="B53" s="5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F36"/>
  <sheetViews>
    <sheetView zoomScaleNormal="100" workbookViewId="0">
      <selection activeCell="E22" sqref="E22"/>
    </sheetView>
  </sheetViews>
  <sheetFormatPr defaultColWidth="8.6640625" defaultRowHeight="14.4" x14ac:dyDescent="0.3"/>
  <cols>
    <col min="1" max="1" width="5" customWidth="1"/>
    <col min="2" max="6" width="25" customWidth="1"/>
  </cols>
  <sheetData>
    <row r="1" spans="1:6" ht="20.100000000000001" customHeight="1" x14ac:dyDescent="0.3">
      <c r="A1" s="33" t="s">
        <v>4</v>
      </c>
      <c r="B1" s="33"/>
      <c r="C1" s="33"/>
      <c r="D1" s="33"/>
      <c r="E1" s="33"/>
      <c r="F1" s="33"/>
    </row>
    <row r="2" spans="1:6" ht="30" customHeight="1" x14ac:dyDescent="0.3">
      <c r="A2" s="37" t="s">
        <v>5</v>
      </c>
      <c r="B2" s="37"/>
      <c r="C2" s="37"/>
      <c r="D2" s="37"/>
      <c r="E2" s="37"/>
      <c r="F2" s="37"/>
    </row>
    <row r="3" spans="1:6" ht="34.5" customHeight="1" x14ac:dyDescent="0.3">
      <c r="A3" s="6" t="s">
        <v>2</v>
      </c>
      <c r="B3" s="7" t="s">
        <v>92</v>
      </c>
      <c r="C3" s="7" t="s">
        <v>93</v>
      </c>
      <c r="D3" s="7" t="s">
        <v>94</v>
      </c>
      <c r="E3" s="7" t="s">
        <v>95</v>
      </c>
      <c r="F3" s="7" t="s">
        <v>96</v>
      </c>
    </row>
    <row r="4" spans="1:6" x14ac:dyDescent="0.3">
      <c r="A4" s="8">
        <v>1</v>
      </c>
      <c r="B4" s="9" t="s">
        <v>97</v>
      </c>
      <c r="C4" s="9" t="s">
        <v>112</v>
      </c>
      <c r="D4" s="9" t="s">
        <v>134</v>
      </c>
      <c r="E4" s="9" t="s">
        <v>146</v>
      </c>
      <c r="F4" s="9" t="s">
        <v>157</v>
      </c>
    </row>
    <row r="5" spans="1:6" x14ac:dyDescent="0.3">
      <c r="A5" s="10">
        <v>2</v>
      </c>
      <c r="B5" s="11" t="s">
        <v>98</v>
      </c>
      <c r="C5" s="11" t="s">
        <v>113</v>
      </c>
      <c r="D5" s="11" t="s">
        <v>135</v>
      </c>
      <c r="E5" s="11" t="s">
        <v>147</v>
      </c>
      <c r="F5" s="11" t="s">
        <v>158</v>
      </c>
    </row>
    <row r="6" spans="1:6" x14ac:dyDescent="0.3">
      <c r="A6" s="8">
        <v>3</v>
      </c>
      <c r="B6" s="9" t="s">
        <v>99</v>
      </c>
      <c r="C6" s="9" t="s">
        <v>114</v>
      </c>
      <c r="D6" s="9" t="s">
        <v>136</v>
      </c>
      <c r="E6" s="9" t="s">
        <v>148</v>
      </c>
      <c r="F6" s="9" t="s">
        <v>159</v>
      </c>
    </row>
    <row r="7" spans="1:6" x14ac:dyDescent="0.3">
      <c r="A7" s="10">
        <v>4</v>
      </c>
      <c r="B7" s="11" t="s">
        <v>100</v>
      </c>
      <c r="C7" s="11" t="s">
        <v>115</v>
      </c>
      <c r="D7" s="11" t="s">
        <v>137</v>
      </c>
      <c r="E7" s="11" t="s">
        <v>149</v>
      </c>
      <c r="F7" s="11" t="s">
        <v>160</v>
      </c>
    </row>
    <row r="8" spans="1:6" x14ac:dyDescent="0.3">
      <c r="A8" s="8">
        <v>5</v>
      </c>
      <c r="B8" s="9" t="s">
        <v>101</v>
      </c>
      <c r="C8" s="9" t="s">
        <v>116</v>
      </c>
      <c r="D8" s="9" t="s">
        <v>138</v>
      </c>
      <c r="E8" s="9" t="s">
        <v>150</v>
      </c>
      <c r="F8" s="9" t="s">
        <v>161</v>
      </c>
    </row>
    <row r="9" spans="1:6" x14ac:dyDescent="0.3">
      <c r="A9" s="10">
        <v>6</v>
      </c>
      <c r="B9" s="11" t="s">
        <v>102</v>
      </c>
      <c r="C9" s="11" t="s">
        <v>117</v>
      </c>
      <c r="D9" s="11" t="s">
        <v>139</v>
      </c>
      <c r="E9" s="11" t="s">
        <v>151</v>
      </c>
      <c r="F9" s="11" t="s">
        <v>162</v>
      </c>
    </row>
    <row r="10" spans="1:6" x14ac:dyDescent="0.3">
      <c r="A10" s="8">
        <v>7</v>
      </c>
      <c r="B10" s="9" t="s">
        <v>103</v>
      </c>
      <c r="C10" s="9" t="s">
        <v>118</v>
      </c>
      <c r="D10" s="9" t="s">
        <v>140</v>
      </c>
      <c r="E10" s="9" t="s">
        <v>152</v>
      </c>
      <c r="F10" s="9" t="s">
        <v>163</v>
      </c>
    </row>
    <row r="11" spans="1:6" x14ac:dyDescent="0.3">
      <c r="A11" s="10">
        <v>8</v>
      </c>
      <c r="B11" s="11" t="s">
        <v>104</v>
      </c>
      <c r="C11" s="11" t="s">
        <v>119</v>
      </c>
      <c r="D11" s="11" t="s">
        <v>141</v>
      </c>
      <c r="E11" s="11" t="s">
        <v>153</v>
      </c>
      <c r="F11" s="11" t="s">
        <v>164</v>
      </c>
    </row>
    <row r="12" spans="1:6" x14ac:dyDescent="0.3">
      <c r="A12" s="8">
        <v>9</v>
      </c>
      <c r="B12" s="9" t="s">
        <v>105</v>
      </c>
      <c r="C12" s="9" t="s">
        <v>120</v>
      </c>
      <c r="D12" s="9" t="s">
        <v>142</v>
      </c>
      <c r="E12" s="9" t="s">
        <v>154</v>
      </c>
      <c r="F12" s="9" t="s">
        <v>165</v>
      </c>
    </row>
    <row r="13" spans="1:6" x14ac:dyDescent="0.3">
      <c r="A13" s="10">
        <v>10</v>
      </c>
      <c r="B13" s="11" t="s">
        <v>106</v>
      </c>
      <c r="C13" s="11" t="s">
        <v>121</v>
      </c>
      <c r="D13" s="11" t="s">
        <v>143</v>
      </c>
      <c r="E13" s="11" t="s">
        <v>155</v>
      </c>
      <c r="F13" s="11" t="s">
        <v>166</v>
      </c>
    </row>
    <row r="14" spans="1:6" x14ac:dyDescent="0.3">
      <c r="A14" s="8">
        <v>11</v>
      </c>
      <c r="B14" s="9" t="s">
        <v>107</v>
      </c>
      <c r="C14" s="9" t="s">
        <v>122</v>
      </c>
      <c r="D14" s="9" t="s">
        <v>144</v>
      </c>
      <c r="E14" s="9" t="s">
        <v>156</v>
      </c>
      <c r="F14" s="9" t="s">
        <v>167</v>
      </c>
    </row>
    <row r="15" spans="1:6" x14ac:dyDescent="0.3">
      <c r="A15" s="10">
        <v>12</v>
      </c>
      <c r="B15" s="11" t="s">
        <v>108</v>
      </c>
      <c r="C15" s="11" t="s">
        <v>123</v>
      </c>
      <c r="D15" s="11" t="s">
        <v>145</v>
      </c>
      <c r="E15" s="11"/>
      <c r="F15" s="11" t="s">
        <v>168</v>
      </c>
    </row>
    <row r="16" spans="1:6" x14ac:dyDescent="0.3">
      <c r="A16" s="8">
        <v>13</v>
      </c>
      <c r="B16" s="9" t="s">
        <v>109</v>
      </c>
      <c r="C16" s="9" t="s">
        <v>124</v>
      </c>
      <c r="D16" s="9"/>
      <c r="E16" s="9"/>
      <c r="F16" s="9" t="s">
        <v>169</v>
      </c>
    </row>
    <row r="17" spans="1:6" ht="15" customHeight="1" x14ac:dyDescent="0.3">
      <c r="A17" s="10">
        <v>14</v>
      </c>
      <c r="B17" s="11" t="s">
        <v>110</v>
      </c>
      <c r="C17" s="11" t="s">
        <v>125</v>
      </c>
      <c r="D17" s="11"/>
      <c r="E17" s="11"/>
      <c r="F17" s="11" t="s">
        <v>170</v>
      </c>
    </row>
    <row r="18" spans="1:6" ht="13.2" customHeight="1" x14ac:dyDescent="0.3">
      <c r="A18" s="8">
        <v>15</v>
      </c>
      <c r="B18" s="9" t="s">
        <v>111</v>
      </c>
      <c r="C18" s="9" t="s">
        <v>126</v>
      </c>
      <c r="D18" s="9"/>
      <c r="E18" s="9"/>
      <c r="F18" s="9" t="s">
        <v>171</v>
      </c>
    </row>
    <row r="19" spans="1:6" x14ac:dyDescent="0.3">
      <c r="A19" s="10">
        <v>16</v>
      </c>
      <c r="B19" s="11"/>
      <c r="C19" s="11" t="s">
        <v>127</v>
      </c>
      <c r="D19" s="11"/>
      <c r="E19" s="11"/>
      <c r="F19" s="11" t="s">
        <v>172</v>
      </c>
    </row>
    <row r="20" spans="1:6" x14ac:dyDescent="0.3">
      <c r="A20" s="8">
        <v>17</v>
      </c>
      <c r="B20" s="9"/>
      <c r="C20" s="9" t="s">
        <v>128</v>
      </c>
      <c r="D20" s="9"/>
      <c r="E20" s="9"/>
      <c r="F20" s="9" t="s">
        <v>173</v>
      </c>
    </row>
    <row r="21" spans="1:6" x14ac:dyDescent="0.3">
      <c r="A21" s="10">
        <v>18</v>
      </c>
      <c r="B21" s="11"/>
      <c r="C21" s="11" t="s">
        <v>129</v>
      </c>
      <c r="D21" s="11"/>
      <c r="E21" s="11"/>
      <c r="F21" s="11" t="s">
        <v>174</v>
      </c>
    </row>
    <row r="22" spans="1:6" x14ac:dyDescent="0.3">
      <c r="A22" s="8">
        <v>19</v>
      </c>
      <c r="B22" s="9"/>
      <c r="C22" s="9" t="s">
        <v>130</v>
      </c>
      <c r="D22" s="9"/>
      <c r="E22" s="9"/>
      <c r="F22" s="9" t="s">
        <v>175</v>
      </c>
    </row>
    <row r="23" spans="1:6" x14ac:dyDescent="0.3">
      <c r="A23" s="10">
        <v>20</v>
      </c>
      <c r="B23" s="11"/>
      <c r="C23" s="11" t="s">
        <v>131</v>
      </c>
      <c r="D23" s="11"/>
      <c r="E23" s="11"/>
      <c r="F23" s="11" t="s">
        <v>176</v>
      </c>
    </row>
    <row r="24" spans="1:6" x14ac:dyDescent="0.3">
      <c r="A24" s="8">
        <v>21</v>
      </c>
      <c r="B24" s="9"/>
      <c r="C24" s="9" t="s">
        <v>132</v>
      </c>
      <c r="D24" s="9"/>
      <c r="E24" s="9"/>
      <c r="F24" s="9" t="s">
        <v>177</v>
      </c>
    </row>
    <row r="25" spans="1:6" x14ac:dyDescent="0.3">
      <c r="A25" s="10">
        <v>22</v>
      </c>
      <c r="B25" s="11"/>
      <c r="C25" s="11" t="s">
        <v>133</v>
      </c>
      <c r="D25" s="11"/>
      <c r="E25" s="11"/>
      <c r="F25" s="11" t="s">
        <v>178</v>
      </c>
    </row>
    <row r="26" spans="1:6" x14ac:dyDescent="0.3">
      <c r="A26" s="8">
        <v>23</v>
      </c>
      <c r="B26" s="9"/>
      <c r="C26" s="9"/>
      <c r="D26" s="9"/>
      <c r="E26" s="9"/>
      <c r="F26" s="9" t="s">
        <v>179</v>
      </c>
    </row>
    <row r="27" spans="1:6" x14ac:dyDescent="0.3">
      <c r="A27" s="10">
        <v>24</v>
      </c>
      <c r="B27" s="11"/>
      <c r="C27" s="11"/>
      <c r="D27" s="11"/>
      <c r="E27" s="11"/>
      <c r="F27" s="11" t="s">
        <v>180</v>
      </c>
    </row>
    <row r="28" spans="1:6" x14ac:dyDescent="0.3">
      <c r="A28" s="8">
        <v>25</v>
      </c>
      <c r="B28" s="9"/>
      <c r="C28" s="9"/>
      <c r="D28" s="9"/>
      <c r="E28" s="9"/>
      <c r="F28" s="9" t="s">
        <v>181</v>
      </c>
    </row>
    <row r="29" spans="1:6" x14ac:dyDescent="0.3">
      <c r="A29" s="10">
        <v>26</v>
      </c>
      <c r="B29" s="11"/>
      <c r="C29" s="11"/>
      <c r="D29" s="11"/>
      <c r="E29" s="11"/>
      <c r="F29" s="11" t="s">
        <v>182</v>
      </c>
    </row>
    <row r="30" spans="1:6" x14ac:dyDescent="0.3">
      <c r="A30" s="8">
        <v>27</v>
      </c>
      <c r="B30" s="9"/>
      <c r="C30" s="9"/>
      <c r="D30" s="9"/>
      <c r="E30" s="9"/>
      <c r="F30" s="9" t="s">
        <v>183</v>
      </c>
    </row>
    <row r="31" spans="1:6" x14ac:dyDescent="0.3">
      <c r="A31" s="10">
        <v>28</v>
      </c>
      <c r="B31" s="11"/>
      <c r="C31" s="11"/>
      <c r="D31" s="11"/>
      <c r="E31" s="11"/>
      <c r="F31" s="11" t="s">
        <v>184</v>
      </c>
    </row>
    <row r="32" spans="1:6" x14ac:dyDescent="0.3">
      <c r="A32" s="8">
        <v>29</v>
      </c>
      <c r="B32" s="9"/>
      <c r="C32" s="9"/>
      <c r="D32" s="9"/>
      <c r="E32" s="9"/>
      <c r="F32" s="9" t="s">
        <v>185</v>
      </c>
    </row>
    <row r="33" spans="1:6" x14ac:dyDescent="0.3">
      <c r="A33" s="8">
        <v>30</v>
      </c>
      <c r="B33" s="9"/>
      <c r="C33" s="9"/>
      <c r="D33" s="9"/>
      <c r="E33" s="9"/>
      <c r="F33" s="9" t="s">
        <v>186</v>
      </c>
    </row>
    <row r="34" spans="1:6" x14ac:dyDescent="0.3">
      <c r="A34" s="8">
        <v>31</v>
      </c>
      <c r="B34" s="9"/>
      <c r="C34" s="9"/>
      <c r="D34" s="9"/>
      <c r="E34" s="9"/>
      <c r="F34" s="9" t="s">
        <v>187</v>
      </c>
    </row>
    <row r="35" spans="1:6" x14ac:dyDescent="0.3">
      <c r="A35" s="8">
        <v>32</v>
      </c>
      <c r="B35" s="9"/>
      <c r="C35" s="9"/>
      <c r="D35" s="9"/>
      <c r="E35" s="9"/>
      <c r="F35" s="9" t="s">
        <v>188</v>
      </c>
    </row>
    <row r="36" spans="1:6" x14ac:dyDescent="0.3">
      <c r="A36" s="10">
        <v>33</v>
      </c>
      <c r="B36" s="11"/>
      <c r="C36" s="11"/>
      <c r="D36" s="11"/>
      <c r="E36" s="11"/>
      <c r="F36" s="11" t="s">
        <v>189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A1:G11"/>
  <sheetViews>
    <sheetView zoomScaleNormal="100" workbookViewId="0">
      <selection activeCell="I6" sqref="I6"/>
    </sheetView>
  </sheetViews>
  <sheetFormatPr defaultColWidth="8.6640625" defaultRowHeight="14.4" x14ac:dyDescent="0.3"/>
  <cols>
    <col min="1" max="7" width="20" customWidth="1"/>
  </cols>
  <sheetData>
    <row r="1" spans="1:7" ht="20.100000000000001" customHeight="1" x14ac:dyDescent="0.3">
      <c r="A1" s="33" t="s">
        <v>6</v>
      </c>
      <c r="B1" s="33"/>
      <c r="C1" s="33"/>
      <c r="D1" s="33"/>
      <c r="E1" s="33"/>
      <c r="F1" s="33"/>
      <c r="G1" s="33"/>
    </row>
    <row r="2" spans="1:7" ht="15" customHeight="1" x14ac:dyDescent="0.3">
      <c r="A2" s="34" t="s">
        <v>7</v>
      </c>
      <c r="B2" s="34"/>
      <c r="C2" s="34"/>
      <c r="D2" s="34"/>
      <c r="E2" s="34"/>
      <c r="F2" s="34"/>
      <c r="G2" s="34"/>
    </row>
    <row r="3" spans="1:7" ht="24.75" customHeight="1" x14ac:dyDescent="0.3">
      <c r="A3" s="12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</row>
    <row r="4" spans="1:7" ht="30" customHeight="1" x14ac:dyDescent="0.3">
      <c r="A4" s="6" t="s">
        <v>92</v>
      </c>
      <c r="B4" s="4" t="s">
        <v>103</v>
      </c>
      <c r="C4" s="4" t="s">
        <v>101</v>
      </c>
      <c r="D4" s="4" t="s">
        <v>106</v>
      </c>
      <c r="E4" s="4" t="s">
        <v>99</v>
      </c>
      <c r="F4" s="4" t="s">
        <v>102</v>
      </c>
      <c r="G4" s="4" t="s">
        <v>110</v>
      </c>
    </row>
    <row r="5" spans="1:7" ht="30" customHeight="1" x14ac:dyDescent="0.3">
      <c r="A5" s="6" t="s">
        <v>93</v>
      </c>
      <c r="B5" s="4" t="s">
        <v>112</v>
      </c>
      <c r="C5" s="4" t="s">
        <v>119</v>
      </c>
      <c r="D5" s="4" t="s">
        <v>127</v>
      </c>
      <c r="E5" s="4" t="s">
        <v>130</v>
      </c>
      <c r="F5" s="4" t="s">
        <v>131</v>
      </c>
      <c r="G5" s="4" t="s">
        <v>132</v>
      </c>
    </row>
    <row r="6" spans="1:7" ht="30" customHeight="1" x14ac:dyDescent="0.3">
      <c r="A6" s="6" t="s">
        <v>94</v>
      </c>
      <c r="B6" s="4" t="s">
        <v>143</v>
      </c>
      <c r="C6" s="4" t="s">
        <v>137</v>
      </c>
      <c r="D6" s="4" t="s">
        <v>134</v>
      </c>
      <c r="E6" s="4" t="s">
        <v>141</v>
      </c>
      <c r="F6" s="4" t="s">
        <v>144</v>
      </c>
      <c r="G6" s="4" t="s">
        <v>139</v>
      </c>
    </row>
    <row r="7" spans="1:7" ht="30" customHeight="1" x14ac:dyDescent="0.3">
      <c r="A7" s="6" t="s">
        <v>95</v>
      </c>
      <c r="B7" s="4"/>
      <c r="C7" s="4"/>
      <c r="D7" s="4"/>
      <c r="E7" s="4"/>
      <c r="F7" s="4"/>
      <c r="G7" s="4"/>
    </row>
    <row r="8" spans="1:7" ht="30" customHeight="1" x14ac:dyDescent="0.3">
      <c r="A8" s="6" t="s">
        <v>96</v>
      </c>
      <c r="B8" s="4"/>
      <c r="C8" s="4"/>
      <c r="D8" s="4"/>
      <c r="E8" s="4"/>
      <c r="F8" s="4"/>
      <c r="G8" s="4"/>
    </row>
    <row r="9" spans="1:7" ht="30" customHeight="1" x14ac:dyDescent="0.3">
      <c r="A9" s="6"/>
      <c r="B9" s="4"/>
      <c r="C9" s="4"/>
      <c r="D9" s="4"/>
      <c r="E9" s="4"/>
      <c r="F9" s="4"/>
      <c r="G9" s="4"/>
    </row>
    <row r="11" spans="1:7" x14ac:dyDescent="0.3">
      <c r="A11" s="38" t="s">
        <v>15</v>
      </c>
      <c r="B11" s="38"/>
      <c r="C11" s="38"/>
      <c r="D11" s="38"/>
      <c r="E11" s="38"/>
      <c r="F11" s="38"/>
      <c r="G11" s="38"/>
    </row>
  </sheetData>
  <mergeCells count="3">
    <mergeCell ref="A1:G1"/>
    <mergeCell ref="A2:G2"/>
    <mergeCell ref="A11:G1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prompt="Select from Norfolk Stakes runners" xr:uid="{00000000-0002-0000-0200-000000000000}">
          <x14:formula1>
            <xm:f>'Race Card'!$B$4:$B$36</xm:f>
          </x14:formula1>
          <x14:formula2>
            <xm:f>0</xm:f>
          </x14:formula2>
          <xm:sqref>B4:G4</xm:sqref>
        </x14:dataValidation>
        <x14:dataValidation type="list" allowBlank="1" showInputMessage="1" prompt="Select from King George V runners" xr:uid="{00000000-0002-0000-0200-000001000000}">
          <x14:formula1>
            <xm:f>'Race Card'!$C$4:$C$36</xm:f>
          </x14:formula1>
          <x14:formula2>
            <xm:f>0</xm:f>
          </x14:formula2>
          <xm:sqref>B5:G5</xm:sqref>
        </x14:dataValidation>
        <x14:dataValidation type="list" allowBlank="1" showInputMessage="1" prompt="Select from Ribblesdale Stakes runners" xr:uid="{00000000-0002-0000-0200-000002000000}">
          <x14:formula1>
            <xm:f>'Race Card'!$D$4:$D$36</xm:f>
          </x14:formula1>
          <x14:formula2>
            <xm:f>0</xm:f>
          </x14:formula2>
          <xm:sqref>B6:G6</xm:sqref>
        </x14:dataValidation>
        <x14:dataValidation type="list" allowBlank="1" showInputMessage="1" prompt="Select from Gold Cup runners" xr:uid="{00000000-0002-0000-0200-000003000000}">
          <x14:formula1>
            <xm:f>'Race Card'!$E$4:$E$36</xm:f>
          </x14:formula1>
          <x14:formula2>
            <xm:f>0</xm:f>
          </x14:formula2>
          <xm:sqref>B7:G7</xm:sqref>
        </x14:dataValidation>
        <x14:dataValidation type="list" allowBlank="1" showInputMessage="1" prompt="Select from Britannia Stakes runners" xr:uid="{00000000-0002-0000-0200-000004000000}">
          <x14:formula1>
            <xm:f>'Race Card'!$F$4:$F$36</xm:f>
          </x14:formula1>
          <x14:formula2>
            <xm:f>0</xm:f>
          </x14:formula2>
          <xm:sqref>B8:G8</xm:sqref>
        </x14:dataValidation>
        <x14:dataValidation type="list" allowBlank="1" showInputMessage="1" prompt="Select from Hampton Court runners" xr:uid="{00000000-0002-0000-0200-000005000000}">
          <x14:formula1>
            <xm:f>'Race Card'!#REF!</xm:f>
          </x14:formula1>
          <x14:formula2>
            <xm:f>0</xm:f>
          </x14:formula2>
          <xm:sqref>B9:G9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A1:M3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8" sqref="G8"/>
    </sheetView>
  </sheetViews>
  <sheetFormatPr defaultColWidth="8.6640625" defaultRowHeight="14.4" x14ac:dyDescent="0.3"/>
  <cols>
    <col min="1" max="1" width="5" customWidth="1"/>
    <col min="2" max="2" width="22" customWidth="1"/>
    <col min="3" max="3" width="16" customWidth="1"/>
    <col min="4" max="4" width="6" customWidth="1"/>
    <col min="5" max="5" width="16" customWidth="1"/>
    <col min="6" max="6" width="6" customWidth="1"/>
    <col min="7" max="7" width="16" customWidth="1"/>
    <col min="8" max="8" width="6" customWidth="1"/>
    <col min="9" max="9" width="16" customWidth="1"/>
    <col min="10" max="10" width="6" customWidth="1"/>
    <col min="11" max="11" width="16" customWidth="1"/>
    <col min="12" max="12" width="6" customWidth="1"/>
    <col min="13" max="13" width="8" customWidth="1"/>
  </cols>
  <sheetData>
    <row r="1" spans="1:13" ht="20.100000000000001" customHeight="1" x14ac:dyDescent="0.3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15" customHeight="1" x14ac:dyDescent="0.3">
      <c r="A2" s="34" t="s">
        <v>17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22.8" x14ac:dyDescent="0.3">
      <c r="A3" s="13" t="s">
        <v>2</v>
      </c>
      <c r="B3" s="14" t="s">
        <v>3</v>
      </c>
      <c r="C3" s="14" t="s">
        <v>91</v>
      </c>
      <c r="D3" s="13" t="s">
        <v>18</v>
      </c>
      <c r="E3" s="14" t="s">
        <v>19</v>
      </c>
      <c r="F3" s="13" t="s">
        <v>18</v>
      </c>
      <c r="G3" s="14" t="s">
        <v>20</v>
      </c>
      <c r="H3" s="13" t="s">
        <v>18</v>
      </c>
      <c r="I3" s="14" t="s">
        <v>21</v>
      </c>
      <c r="J3" s="13" t="s">
        <v>18</v>
      </c>
      <c r="K3" s="14" t="s">
        <v>22</v>
      </c>
      <c r="L3" s="13" t="s">
        <v>18</v>
      </c>
      <c r="M3" s="13" t="s">
        <v>23</v>
      </c>
    </row>
    <row r="4" spans="1:13" ht="15.6" x14ac:dyDescent="0.3">
      <c r="A4" s="15">
        <v>1</v>
      </c>
      <c r="B4" s="16" t="s">
        <v>64</v>
      </c>
      <c r="C4" s="15" t="s">
        <v>103</v>
      </c>
      <c r="D4" s="17">
        <f>IF(C4="","",IF(UPPER(C4)=UPPER('Race Results'!B4),10,IF(UPPER(C4)=UPPER('Race Results'!C4),6,IF(UPPER(C4)=UPPER('Race Results'!D4),4,IF(UPPER(C4)=UPPER('Race Results'!E4),3,IF(UPPER(C4)=UPPER('Race Results'!F4),2,IF(UPPER(C4)=UPPER('Race Results'!G4),1,0)))))))</f>
        <v>10</v>
      </c>
      <c r="E4" s="15" t="s">
        <v>119</v>
      </c>
      <c r="F4" s="17">
        <f>IF(E4="","",IF(UPPER(E4)=UPPER('Race Results'!B5),10,IF(UPPER(E4)=UPPER('Race Results'!C5),6,IF(UPPER(E4)=UPPER('Race Results'!D5),4,IF(UPPER(E4)=UPPER('Race Results'!E5),3,IF(UPPER(E4)=UPPER('Race Results'!F5),2,IF(UPPER(E4)=UPPER('Race Results'!G5),1,0)))))))</f>
        <v>6</v>
      </c>
      <c r="G4" s="15" t="s">
        <v>143</v>
      </c>
      <c r="H4" s="17">
        <f>IF(G4="","",IF(UPPER(G4)=UPPER('Race Results'!B6),10,IF(UPPER(G4)=UPPER('Race Results'!C6),6,IF(UPPER(G4)=UPPER('Race Results'!D6),4,IF(UPPER(G4)=UPPER('Race Results'!E6),3,IF(UPPER(G4)=UPPER('Race Results'!F6),2,IF(UPPER(G4)=UPPER('Race Results'!G6),1,0)))))))</f>
        <v>10</v>
      </c>
      <c r="I4" s="15" t="s">
        <v>150</v>
      </c>
      <c r="J4" s="17">
        <f>IF(I4="","",IF(UPPER(I4)=UPPER('Race Results'!B7),10,IF(UPPER(I4)=UPPER('Race Results'!C7),6,IF(UPPER(I4)=UPPER('Race Results'!D7),4,IF(UPPER(I4)=UPPER('Race Results'!E7),3,IF(UPPER(I4)=UPPER('Race Results'!F7),2,IF(UPPER(I4)=UPPER('Race Results'!G7),1,0)))))))</f>
        <v>0</v>
      </c>
      <c r="K4" s="15" t="s">
        <v>183</v>
      </c>
      <c r="L4" s="17">
        <f>IF(K4="","",IF(UPPER(K4)=UPPER('Race Results'!B8),10,IF(UPPER(K4)=UPPER('Race Results'!C8),6,IF(UPPER(K4)=UPPER('Race Results'!D8),4,IF(UPPER(K4)=UPPER('Race Results'!E8),3,IF(UPPER(K4)=UPPER('Race Results'!F8),2,IF(UPPER(K4)=UPPER('Race Results'!G8),1,0)))))))</f>
        <v>0</v>
      </c>
      <c r="M4" s="18">
        <f t="shared" ref="M4:M33" si="0">IF(COUNTA(D4,F4,H4,J4,L4)=0,"",SUM(D4,F4,H4,J4,L4))</f>
        <v>26</v>
      </c>
    </row>
    <row r="5" spans="1:13" ht="15.6" x14ac:dyDescent="0.3">
      <c r="A5" s="4">
        <v>2</v>
      </c>
      <c r="B5" s="5" t="s">
        <v>65</v>
      </c>
      <c r="C5" s="4" t="s">
        <v>101</v>
      </c>
      <c r="D5" s="17">
        <f>IF(C5="","",IF(UPPER(C5)=UPPER('Race Results'!B4),10,IF(UPPER(C5)=UPPER('Race Results'!C4),6,IF(UPPER(C5)=UPPER('Race Results'!D4),4,IF(UPPER(C5)=UPPER('Race Results'!E4),3,IF(UPPER(C5)=UPPER('Race Results'!F4),2,IF(UPPER(C5)=UPPER('Race Results'!G4),1,0)))))))</f>
        <v>6</v>
      </c>
      <c r="E5" s="4" t="s">
        <v>112</v>
      </c>
      <c r="F5" s="17">
        <f>IF(E5="","",IF(UPPER(E5)=UPPER('Race Results'!B5),10,IF(UPPER(E5)=UPPER('Race Results'!C5),6,IF(UPPER(E5)=UPPER('Race Results'!D5),4,IF(UPPER(E5)=UPPER('Race Results'!E5),3,IF(UPPER(E5)=UPPER('Race Results'!F5),2,IF(UPPER(E5)=UPPER('Race Results'!G5),1,0)))))))</f>
        <v>10</v>
      </c>
      <c r="G5" s="4" t="s">
        <v>137</v>
      </c>
      <c r="H5" s="17">
        <f>IF(G5="","",IF(UPPER(G5)=UPPER('Race Results'!B6),10,IF(UPPER(G5)=UPPER('Race Results'!C6),6,IF(UPPER(G5)=UPPER('Race Results'!D6),4,IF(UPPER(G5)=UPPER('Race Results'!E6),3,IF(UPPER(G5)=UPPER('Race Results'!F6),2,IF(UPPER(G5)=UPPER('Race Results'!G6),1,0)))))))</f>
        <v>6</v>
      </c>
      <c r="I5" s="4" t="s">
        <v>151</v>
      </c>
      <c r="J5" s="17">
        <f>IF(I5="","",IF(UPPER(I5)=UPPER('Race Results'!B7),10,IF(UPPER(I5)=UPPER('Race Results'!C7),6,IF(UPPER(I5)=UPPER('Race Results'!D7),4,IF(UPPER(I5)=UPPER('Race Results'!E7),3,IF(UPPER(I5)=UPPER('Race Results'!F7),2,IF(UPPER(I5)=UPPER('Race Results'!G7),1,0)))))))</f>
        <v>0</v>
      </c>
      <c r="K5" s="4" t="s">
        <v>170</v>
      </c>
      <c r="L5" s="17">
        <f>IF(K5="","",IF(UPPER(K5)=UPPER('Race Results'!B8),10,IF(UPPER(K5)=UPPER('Race Results'!C8),6,IF(UPPER(K5)=UPPER('Race Results'!D8),4,IF(UPPER(K5)=UPPER('Race Results'!E8),3,IF(UPPER(K5)=UPPER('Race Results'!F8),2,IF(UPPER(K5)=UPPER('Race Results'!G8),1,0)))))))</f>
        <v>0</v>
      </c>
      <c r="M5" s="18">
        <f t="shared" si="0"/>
        <v>22</v>
      </c>
    </row>
    <row r="6" spans="1:13" ht="15.6" x14ac:dyDescent="0.3">
      <c r="A6" s="15">
        <v>3</v>
      </c>
      <c r="B6" s="16" t="s">
        <v>66</v>
      </c>
      <c r="C6" s="15" t="s">
        <v>106</v>
      </c>
      <c r="D6" s="17">
        <f>IF(C6="","",IF(UPPER(C6)=UPPER('Race Results'!B4),10,IF(UPPER(C6)=UPPER('Race Results'!C4),6,IF(UPPER(C6)=UPPER('Race Results'!D4),4,IF(UPPER(C6)=UPPER('Race Results'!E4),3,IF(UPPER(C6)=UPPER('Race Results'!F4),2,IF(UPPER(C6)=UPPER('Race Results'!G4),1,0)))))))</f>
        <v>4</v>
      </c>
      <c r="E6" s="15" t="s">
        <v>114</v>
      </c>
      <c r="F6" s="17">
        <f>IF(E6="","",IF(UPPER(E6)=UPPER('Race Results'!B5),10,IF(UPPER(E6)=UPPER('Race Results'!C5),6,IF(UPPER(E6)=UPPER('Race Results'!D5),4,IF(UPPER(E6)=UPPER('Race Results'!E5),3,IF(UPPER(E6)=UPPER('Race Results'!F5),2,IF(UPPER(E6)=UPPER('Race Results'!G5),1,0)))))))</f>
        <v>0</v>
      </c>
      <c r="G6" s="15" t="s">
        <v>134</v>
      </c>
      <c r="H6" s="17">
        <f>IF(G6="","",IF(UPPER(G6)=UPPER('Race Results'!B6),10,IF(UPPER(G6)=UPPER('Race Results'!C6),6,IF(UPPER(G6)=UPPER('Race Results'!D6),4,IF(UPPER(G6)=UPPER('Race Results'!E6),3,IF(UPPER(G6)=UPPER('Race Results'!F6),2,IF(UPPER(G6)=UPPER('Race Results'!G6),1,0)))))))</f>
        <v>4</v>
      </c>
      <c r="I6" s="15" t="s">
        <v>147</v>
      </c>
      <c r="J6" s="17">
        <f>IF(I6="","",IF(UPPER(I6)=UPPER('Race Results'!B7),10,IF(UPPER(I6)=UPPER('Race Results'!C7),6,IF(UPPER(I6)=UPPER('Race Results'!D7),4,IF(UPPER(I6)=UPPER('Race Results'!E7),3,IF(UPPER(I6)=UPPER('Race Results'!F7),2,IF(UPPER(I6)=UPPER('Race Results'!G7),1,0)))))))</f>
        <v>0</v>
      </c>
      <c r="K6" s="15" t="s">
        <v>171</v>
      </c>
      <c r="L6" s="17">
        <f>IF(K6="","",IF(UPPER(K6)=UPPER('Race Results'!B8),10,IF(UPPER(K6)=UPPER('Race Results'!C8),6,IF(UPPER(K6)=UPPER('Race Results'!D8),4,IF(UPPER(K6)=UPPER('Race Results'!E8),3,IF(UPPER(K6)=UPPER('Race Results'!F8),2,IF(UPPER(K6)=UPPER('Race Results'!G8),1,0)))))))</f>
        <v>0</v>
      </c>
      <c r="M6" s="18">
        <f t="shared" si="0"/>
        <v>8</v>
      </c>
    </row>
    <row r="7" spans="1:13" ht="15.6" x14ac:dyDescent="0.3">
      <c r="A7" s="4">
        <v>4</v>
      </c>
      <c r="B7" s="5" t="s">
        <v>67</v>
      </c>
      <c r="C7" s="4" t="s">
        <v>103</v>
      </c>
      <c r="D7" s="17">
        <f>IF(C7="","",IF(UPPER(C7)=UPPER('Race Results'!B4),10,IF(UPPER(C7)=UPPER('Race Results'!C4),6,IF(UPPER(C7)=UPPER('Race Results'!D4),4,IF(UPPER(C7)=UPPER('Race Results'!E4),3,IF(UPPER(C7)=UPPER('Race Results'!F4),2,IF(UPPER(C7)=UPPER('Race Results'!G4),1,0)))))))</f>
        <v>10</v>
      </c>
      <c r="E7" s="4" t="s">
        <v>122</v>
      </c>
      <c r="F7" s="17">
        <f>IF(E7="","",IF(UPPER(E7)=UPPER('Race Results'!B5),10,IF(UPPER(E7)=UPPER('Race Results'!C5),6,IF(UPPER(E7)=UPPER('Race Results'!D5),4,IF(UPPER(E7)=UPPER('Race Results'!E5),3,IF(UPPER(E7)=UPPER('Race Results'!F5),2,IF(UPPER(E7)=UPPER('Race Results'!G5),1,0)))))))</f>
        <v>0</v>
      </c>
      <c r="G7" s="4" t="s">
        <v>141</v>
      </c>
      <c r="H7" s="17">
        <f>IF(G7="","",IF(UPPER(G7)=UPPER('Race Results'!B6),10,IF(UPPER(G7)=UPPER('Race Results'!C6),6,IF(UPPER(G7)=UPPER('Race Results'!D6),4,IF(UPPER(G7)=UPPER('Race Results'!E6),3,IF(UPPER(G7)=UPPER('Race Results'!F6),2,IF(UPPER(G7)=UPPER('Race Results'!G6),1,0)))))))</f>
        <v>3</v>
      </c>
      <c r="I7" s="4" t="s">
        <v>150</v>
      </c>
      <c r="J7" s="17">
        <f>IF(I7="","",IF(UPPER(I7)=UPPER('Race Results'!B7),10,IF(UPPER(I7)=UPPER('Race Results'!C7),6,IF(UPPER(I7)=UPPER('Race Results'!D7),4,IF(UPPER(I7)=UPPER('Race Results'!E7),3,IF(UPPER(I7)=UPPER('Race Results'!F7),2,IF(UPPER(I7)=UPPER('Race Results'!G7),1,0)))))))</f>
        <v>0</v>
      </c>
      <c r="K7" s="4" t="s">
        <v>180</v>
      </c>
      <c r="L7" s="17">
        <f>IF(K7="","",IF(UPPER(K7)=UPPER('Race Results'!B8),10,IF(UPPER(K7)=UPPER('Race Results'!C8),6,IF(UPPER(K7)=UPPER('Race Results'!D8),4,IF(UPPER(K7)=UPPER('Race Results'!E8),3,IF(UPPER(K7)=UPPER('Race Results'!F8),2,IF(UPPER(K7)=UPPER('Race Results'!G8),1,0)))))))</f>
        <v>0</v>
      </c>
      <c r="M7" s="18">
        <f t="shared" si="0"/>
        <v>13</v>
      </c>
    </row>
    <row r="8" spans="1:13" ht="15.6" x14ac:dyDescent="0.3">
      <c r="A8" s="15">
        <v>5</v>
      </c>
      <c r="B8" s="16" t="s">
        <v>68</v>
      </c>
      <c r="C8" s="15" t="s">
        <v>99</v>
      </c>
      <c r="D8" s="17">
        <f>IF(C8="","",IF(UPPER(C8)=UPPER('Race Results'!B4),10,IF(UPPER(C8)=UPPER('Race Results'!C4),6,IF(UPPER(C8)=UPPER('Race Results'!D4),4,IF(UPPER(C8)=UPPER('Race Results'!E4),3,IF(UPPER(C8)=UPPER('Race Results'!F4),2,IF(UPPER(C8)=UPPER('Race Results'!G4),1,0)))))))</f>
        <v>3</v>
      </c>
      <c r="E8" s="15" t="s">
        <v>119</v>
      </c>
      <c r="F8" s="17">
        <f>IF(E8="","",IF(UPPER(E8)=UPPER('Race Results'!B5),10,IF(UPPER(E8)=UPPER('Race Results'!C5),6,IF(UPPER(E8)=UPPER('Race Results'!D5),4,IF(UPPER(E8)=UPPER('Race Results'!E5),3,IF(UPPER(E8)=UPPER('Race Results'!F5),2,IF(UPPER(E8)=UPPER('Race Results'!G5),1,0)))))))</f>
        <v>6</v>
      </c>
      <c r="G8" s="15" t="s">
        <v>143</v>
      </c>
      <c r="H8" s="17">
        <f>IF(G8="","",IF(UPPER(G8)=UPPER('Race Results'!B6),10,IF(UPPER(G8)=UPPER('Race Results'!C6),6,IF(UPPER(G8)=UPPER('Race Results'!D6),4,IF(UPPER(G8)=UPPER('Race Results'!E6),3,IF(UPPER(G8)=UPPER('Race Results'!F6),2,IF(UPPER(G8)=UPPER('Race Results'!G6),1,0)))))))</f>
        <v>10</v>
      </c>
      <c r="I8" s="15" t="s">
        <v>155</v>
      </c>
      <c r="J8" s="17">
        <f>IF(I8="","",IF(UPPER(I8)=UPPER('Race Results'!B7),10,IF(UPPER(I8)=UPPER('Race Results'!C7),6,IF(UPPER(I8)=UPPER('Race Results'!D7),4,IF(UPPER(I8)=UPPER('Race Results'!E7),3,IF(UPPER(I8)=UPPER('Race Results'!F7),2,IF(UPPER(I8)=UPPER('Race Results'!G7),1,0)))))))</f>
        <v>0</v>
      </c>
      <c r="K8" s="15" t="s">
        <v>158</v>
      </c>
      <c r="L8" s="17">
        <f>IF(K8="","",IF(UPPER(K8)=UPPER('Race Results'!B8),10,IF(UPPER(K8)=UPPER('Race Results'!C8),6,IF(UPPER(K8)=UPPER('Race Results'!D8),4,IF(UPPER(K8)=UPPER('Race Results'!E8),3,IF(UPPER(K8)=UPPER('Race Results'!F8),2,IF(UPPER(K8)=UPPER('Race Results'!G8),1,0)))))))</f>
        <v>0</v>
      </c>
      <c r="M8" s="18">
        <f t="shared" si="0"/>
        <v>19</v>
      </c>
    </row>
    <row r="9" spans="1:13" ht="15.6" x14ac:dyDescent="0.3">
      <c r="A9" s="4">
        <v>6</v>
      </c>
      <c r="B9" s="5" t="s">
        <v>69</v>
      </c>
      <c r="C9" s="4" t="s">
        <v>102</v>
      </c>
      <c r="D9" s="17">
        <f>IF(C9="","",IF(UPPER(C9)=UPPER('Race Results'!B4),10,IF(UPPER(C9)=UPPER('Race Results'!C4),6,IF(UPPER(C9)=UPPER('Race Results'!D4),4,IF(UPPER(C9)=UPPER('Race Results'!E4),3,IF(UPPER(C9)=UPPER('Race Results'!F4),2,IF(UPPER(C9)=UPPER('Race Results'!G4),1,0)))))))</f>
        <v>2</v>
      </c>
      <c r="E9" s="4" t="s">
        <v>128</v>
      </c>
      <c r="F9" s="17">
        <f>IF(E9="","",IF(UPPER(E9)=UPPER('Race Results'!B5),10,IF(UPPER(E9)=UPPER('Race Results'!C5),6,IF(UPPER(E9)=UPPER('Race Results'!D5),4,IF(UPPER(E9)=UPPER('Race Results'!E5),3,IF(UPPER(E9)=UPPER('Race Results'!F5),2,IF(UPPER(E9)=UPPER('Race Results'!G5),1,0)))))))</f>
        <v>0</v>
      </c>
      <c r="G9" s="4" t="s">
        <v>144</v>
      </c>
      <c r="H9" s="17">
        <f>IF(G9="","",IF(UPPER(G9)=UPPER('Race Results'!B6),10,IF(UPPER(G9)=UPPER('Race Results'!C6),6,IF(UPPER(G9)=UPPER('Race Results'!D6),4,IF(UPPER(G9)=UPPER('Race Results'!E6),3,IF(UPPER(G9)=UPPER('Race Results'!F6),2,IF(UPPER(G9)=UPPER('Race Results'!G6),1,0)))))))</f>
        <v>2</v>
      </c>
      <c r="I9" s="4" t="s">
        <v>148</v>
      </c>
      <c r="J9" s="17">
        <f>IF(I9="","",IF(UPPER(I9)=UPPER('Race Results'!B7),10,IF(UPPER(I9)=UPPER('Race Results'!C7),6,IF(UPPER(I9)=UPPER('Race Results'!D7),4,IF(UPPER(I9)=UPPER('Race Results'!E7),3,IF(UPPER(I9)=UPPER('Race Results'!F7),2,IF(UPPER(I9)=UPPER('Race Results'!G7),1,0)))))))</f>
        <v>0</v>
      </c>
      <c r="K9" s="4" t="s">
        <v>164</v>
      </c>
      <c r="L9" s="17">
        <f>IF(K9="","",IF(UPPER(K9)=UPPER('Race Results'!B8),10,IF(UPPER(K9)=UPPER('Race Results'!C8),6,IF(UPPER(K9)=UPPER('Race Results'!D8),4,IF(UPPER(K9)=UPPER('Race Results'!E8),3,IF(UPPER(K9)=UPPER('Race Results'!F8),2,IF(UPPER(K9)=UPPER('Race Results'!G8),1,0)))))))</f>
        <v>0</v>
      </c>
      <c r="M9" s="18">
        <f t="shared" si="0"/>
        <v>4</v>
      </c>
    </row>
    <row r="10" spans="1:13" ht="15.6" x14ac:dyDescent="0.3">
      <c r="A10" s="15">
        <v>7</v>
      </c>
      <c r="B10" s="16" t="s">
        <v>70</v>
      </c>
      <c r="C10" s="15" t="s">
        <v>101</v>
      </c>
      <c r="D10" s="17">
        <f>IF(C10="","",IF(UPPER(C10)=UPPER('Race Results'!B4),10,IF(UPPER(C10)=UPPER('Race Results'!C4),6,IF(UPPER(C10)=UPPER('Race Results'!D4),4,IF(UPPER(C10)=UPPER('Race Results'!E4),3,IF(UPPER(C10)=UPPER('Race Results'!F4),2,IF(UPPER(C10)=UPPER('Race Results'!G4),1,0)))))))</f>
        <v>6</v>
      </c>
      <c r="E10" s="15" t="s">
        <v>112</v>
      </c>
      <c r="F10" s="17">
        <f>IF(E10="","",IF(UPPER(E10)=UPPER('Race Results'!B5),10,IF(UPPER(E10)=UPPER('Race Results'!C5),6,IF(UPPER(E10)=UPPER('Race Results'!D5),4,IF(UPPER(E10)=UPPER('Race Results'!E5),3,IF(UPPER(E10)=UPPER('Race Results'!F5),2,IF(UPPER(E10)=UPPER('Race Results'!G5),1,0)))))))</f>
        <v>10</v>
      </c>
      <c r="G10" s="15" t="s">
        <v>139</v>
      </c>
      <c r="H10" s="17">
        <f>IF(G10="","",IF(UPPER(G10)=UPPER('Race Results'!B6),10,IF(UPPER(G10)=UPPER('Race Results'!C6),6,IF(UPPER(G10)=UPPER('Race Results'!D6),4,IF(UPPER(G10)=UPPER('Race Results'!E6),3,IF(UPPER(G10)=UPPER('Race Results'!F6),2,IF(UPPER(G10)=UPPER('Race Results'!G6),1,0)))))))</f>
        <v>1</v>
      </c>
      <c r="I10" s="15" t="s">
        <v>153</v>
      </c>
      <c r="J10" s="17">
        <f>IF(I10="","",IF(UPPER(I10)=UPPER('Race Results'!B7),10,IF(UPPER(I10)=UPPER('Race Results'!C7),6,IF(UPPER(I10)=UPPER('Race Results'!D7),4,IF(UPPER(I10)=UPPER('Race Results'!E7),3,IF(UPPER(I10)=UPPER('Race Results'!F7),2,IF(UPPER(I10)=UPPER('Race Results'!G7),1,0)))))))</f>
        <v>0</v>
      </c>
      <c r="K10" s="15" t="s">
        <v>183</v>
      </c>
      <c r="L10" s="17">
        <f>IF(K10="","",IF(UPPER(K10)=UPPER('Race Results'!B8),10,IF(UPPER(K10)=UPPER('Race Results'!C8),6,IF(UPPER(K10)=UPPER('Race Results'!D8),4,IF(UPPER(K10)=UPPER('Race Results'!E8),3,IF(UPPER(K10)=UPPER('Race Results'!F8),2,IF(UPPER(K10)=UPPER('Race Results'!G8),1,0)))))))</f>
        <v>0</v>
      </c>
      <c r="M10" s="18">
        <f t="shared" si="0"/>
        <v>17</v>
      </c>
    </row>
    <row r="11" spans="1:13" ht="15.6" x14ac:dyDescent="0.3">
      <c r="A11" s="4">
        <v>8</v>
      </c>
      <c r="B11" s="5" t="s">
        <v>71</v>
      </c>
      <c r="C11" s="4" t="s">
        <v>97</v>
      </c>
      <c r="D11" s="17">
        <f>IF(C11="","",IF(UPPER(C11)=UPPER('Race Results'!B4),10,IF(UPPER(C11)=UPPER('Race Results'!C4),6,IF(UPPER(C11)=UPPER('Race Results'!D4),4,IF(UPPER(C11)=UPPER('Race Results'!E4),3,IF(UPPER(C11)=UPPER('Race Results'!F4),2,IF(UPPER(C11)=UPPER('Race Results'!G4),1,0)))))))</f>
        <v>0</v>
      </c>
      <c r="E11" s="4" t="s">
        <v>133</v>
      </c>
      <c r="F11" s="17">
        <f>IF(E11="","",IF(UPPER(E11)=UPPER('Race Results'!B5),10,IF(UPPER(E11)=UPPER('Race Results'!C5),6,IF(UPPER(E11)=UPPER('Race Results'!D5),4,IF(UPPER(E11)=UPPER('Race Results'!E5),3,IF(UPPER(E11)=UPPER('Race Results'!F5),2,IF(UPPER(E11)=UPPER('Race Results'!G5),1,0)))))))</f>
        <v>0</v>
      </c>
      <c r="G11" s="4" t="s">
        <v>137</v>
      </c>
      <c r="H11" s="17">
        <f>IF(G11="","",IF(UPPER(G11)=UPPER('Race Results'!B6),10,IF(UPPER(G11)=UPPER('Race Results'!C6),6,IF(UPPER(G11)=UPPER('Race Results'!D6),4,IF(UPPER(G11)=UPPER('Race Results'!E6),3,IF(UPPER(G11)=UPPER('Race Results'!F6),2,IF(UPPER(G11)=UPPER('Race Results'!G6),1,0)))))))</f>
        <v>6</v>
      </c>
      <c r="I11" s="4" t="s">
        <v>150</v>
      </c>
      <c r="J11" s="17">
        <f>IF(I11="","",IF(UPPER(I11)=UPPER('Race Results'!B7),10,IF(UPPER(I11)=UPPER('Race Results'!C7),6,IF(UPPER(I11)=UPPER('Race Results'!D7),4,IF(UPPER(I11)=UPPER('Race Results'!E7),3,IF(UPPER(I11)=UPPER('Race Results'!F7),2,IF(UPPER(I11)=UPPER('Race Results'!G7),1,0)))))))</f>
        <v>0</v>
      </c>
      <c r="K11" s="4" t="s">
        <v>170</v>
      </c>
      <c r="L11" s="17">
        <f>IF(K11="","",IF(UPPER(K11)=UPPER('Race Results'!B8),10,IF(UPPER(K11)=UPPER('Race Results'!C8),6,IF(UPPER(K11)=UPPER('Race Results'!D8),4,IF(UPPER(K11)=UPPER('Race Results'!E8),3,IF(UPPER(K11)=UPPER('Race Results'!F8),2,IF(UPPER(K11)=UPPER('Race Results'!G8),1,0)))))))</f>
        <v>0</v>
      </c>
      <c r="M11" s="18">
        <f t="shared" si="0"/>
        <v>6</v>
      </c>
    </row>
    <row r="12" spans="1:13" ht="15.6" x14ac:dyDescent="0.3">
      <c r="A12" s="15">
        <v>9</v>
      </c>
      <c r="B12" s="16" t="s">
        <v>72</v>
      </c>
      <c r="C12" s="15" t="s">
        <v>103</v>
      </c>
      <c r="D12" s="17">
        <f>IF(C12="","",IF(UPPER(C12)=UPPER('Race Results'!B4),10,IF(UPPER(C12)=UPPER('Race Results'!C4),6,IF(UPPER(C12)=UPPER('Race Results'!D4),4,IF(UPPER(C12)=UPPER('Race Results'!E4),3,IF(UPPER(C12)=UPPER('Race Results'!F4),2,IF(UPPER(C12)=UPPER('Race Results'!G4),1,0)))))))</f>
        <v>10</v>
      </c>
      <c r="E12" s="15" t="s">
        <v>119</v>
      </c>
      <c r="F12" s="17">
        <f>IF(E12="","",IF(UPPER(E12)=UPPER('Race Results'!B5),10,IF(UPPER(E12)=UPPER('Race Results'!C5),6,IF(UPPER(E12)=UPPER('Race Results'!D5),4,IF(UPPER(E12)=UPPER('Race Results'!E5),3,IF(UPPER(E12)=UPPER('Race Results'!F5),2,IF(UPPER(E12)=UPPER('Race Results'!G5),1,0)))))))</f>
        <v>6</v>
      </c>
      <c r="G12" s="15" t="s">
        <v>134</v>
      </c>
      <c r="H12" s="17">
        <f>IF(G12="","",IF(UPPER(G12)=UPPER('Race Results'!B6),10,IF(UPPER(G12)=UPPER('Race Results'!C6),6,IF(UPPER(G12)=UPPER('Race Results'!D6),4,IF(UPPER(G12)=UPPER('Race Results'!E6),3,IF(UPPER(G12)=UPPER('Race Results'!F6),2,IF(UPPER(G12)=UPPER('Race Results'!G6),1,0)))))))</f>
        <v>4</v>
      </c>
      <c r="I12" s="15" t="s">
        <v>146</v>
      </c>
      <c r="J12" s="17">
        <f>IF(I12="","",IF(UPPER(I12)=UPPER('Race Results'!B7),10,IF(UPPER(I12)=UPPER('Race Results'!C7),6,IF(UPPER(I12)=UPPER('Race Results'!D7),4,IF(UPPER(I12)=UPPER('Race Results'!E7),3,IF(UPPER(I12)=UPPER('Race Results'!F7),2,IF(UPPER(I12)=UPPER('Race Results'!G7),1,0)))))))</f>
        <v>0</v>
      </c>
      <c r="K12" s="15" t="s">
        <v>171</v>
      </c>
      <c r="L12" s="17">
        <f>IF(K12="","",IF(UPPER(K12)=UPPER('Race Results'!B8),10,IF(UPPER(K12)=UPPER('Race Results'!C8),6,IF(UPPER(K12)=UPPER('Race Results'!D8),4,IF(UPPER(K12)=UPPER('Race Results'!E8),3,IF(UPPER(K12)=UPPER('Race Results'!F8),2,IF(UPPER(K12)=UPPER('Race Results'!G8),1,0)))))))</f>
        <v>0</v>
      </c>
      <c r="M12" s="18">
        <f t="shared" si="0"/>
        <v>20</v>
      </c>
    </row>
    <row r="13" spans="1:13" ht="15.6" x14ac:dyDescent="0.3">
      <c r="A13" s="4">
        <v>10</v>
      </c>
      <c r="B13" s="5" t="s">
        <v>73</v>
      </c>
      <c r="C13" s="4" t="s">
        <v>106</v>
      </c>
      <c r="D13" s="17">
        <f>IF(C13="","",IF(UPPER(C13)=UPPER('Race Results'!B4),10,IF(UPPER(C13)=UPPER('Race Results'!C4),6,IF(UPPER(C13)=UPPER('Race Results'!D4),4,IF(UPPER(C13)=UPPER('Race Results'!E4),3,IF(UPPER(C13)=UPPER('Race Results'!F4),2,IF(UPPER(C13)=UPPER('Race Results'!G4),1,0)))))))</f>
        <v>4</v>
      </c>
      <c r="E13" s="4" t="s">
        <v>114</v>
      </c>
      <c r="F13" s="17">
        <f>IF(E13="","",IF(UPPER(E13)=UPPER('Race Results'!B5),10,IF(UPPER(E13)=UPPER('Race Results'!C5),6,IF(UPPER(E13)=UPPER('Race Results'!D5),4,IF(UPPER(E13)=UPPER('Race Results'!E5),3,IF(UPPER(E13)=UPPER('Race Results'!F5),2,IF(UPPER(E13)=UPPER('Race Results'!G5),1,0)))))))</f>
        <v>0</v>
      </c>
      <c r="G13" s="4" t="s">
        <v>143</v>
      </c>
      <c r="H13" s="17">
        <f>IF(G13="","",IF(UPPER(G13)=UPPER('Race Results'!B6),10,IF(UPPER(G13)=UPPER('Race Results'!C6),6,IF(UPPER(G13)=UPPER('Race Results'!D6),4,IF(UPPER(G13)=UPPER('Race Results'!E6),3,IF(UPPER(G13)=UPPER('Race Results'!F6),2,IF(UPPER(G13)=UPPER('Race Results'!G6),1,0)))))))</f>
        <v>10</v>
      </c>
      <c r="I13" s="4" t="s">
        <v>151</v>
      </c>
      <c r="J13" s="17">
        <f>IF(I13="","",IF(UPPER(I13)=UPPER('Race Results'!B7),10,IF(UPPER(I13)=UPPER('Race Results'!C7),6,IF(UPPER(I13)=UPPER('Race Results'!D7),4,IF(UPPER(I13)=UPPER('Race Results'!E7),3,IF(UPPER(I13)=UPPER('Race Results'!F7),2,IF(UPPER(I13)=UPPER('Race Results'!G7),1,0)))))))</f>
        <v>0</v>
      </c>
      <c r="K13" s="4" t="s">
        <v>189</v>
      </c>
      <c r="L13" s="17">
        <f>IF(K13="","",IF(UPPER(K13)=UPPER('Race Results'!B8),10,IF(UPPER(K13)=UPPER('Race Results'!C8),6,IF(UPPER(K13)=UPPER('Race Results'!D8),4,IF(UPPER(K13)=UPPER('Race Results'!E8),3,IF(UPPER(K13)=UPPER('Race Results'!F8),2,IF(UPPER(K13)=UPPER('Race Results'!G8),1,0)))))))</f>
        <v>0</v>
      </c>
      <c r="M13" s="18">
        <f t="shared" si="0"/>
        <v>14</v>
      </c>
    </row>
    <row r="14" spans="1:13" ht="27.6" x14ac:dyDescent="0.3">
      <c r="A14" s="15">
        <v>11</v>
      </c>
      <c r="B14" s="16" t="s">
        <v>74</v>
      </c>
      <c r="C14" s="15" t="s">
        <v>108</v>
      </c>
      <c r="D14" s="17">
        <f>IF(C14="","",IF(UPPER(C14)=UPPER('Race Results'!B4),10,IF(UPPER(C14)=UPPER('Race Results'!C4),6,IF(UPPER(C14)=UPPER('Race Results'!D4),4,IF(UPPER(C14)=UPPER('Race Results'!E4),3,IF(UPPER(C14)=UPPER('Race Results'!F4),2,IF(UPPER(C14)=UPPER('Race Results'!G4),1,0)))))))</f>
        <v>0</v>
      </c>
      <c r="E14" s="15" t="s">
        <v>122</v>
      </c>
      <c r="F14" s="17">
        <f>IF(E14="","",IF(UPPER(E14)=UPPER('Race Results'!B5),10,IF(UPPER(E14)=UPPER('Race Results'!C5),6,IF(UPPER(E14)=UPPER('Race Results'!D5),4,IF(UPPER(E14)=UPPER('Race Results'!E5),3,IF(UPPER(E14)=UPPER('Race Results'!F5),2,IF(UPPER(E14)=UPPER('Race Results'!G5),1,0)))))))</f>
        <v>0</v>
      </c>
      <c r="G14" s="15" t="s">
        <v>137</v>
      </c>
      <c r="H14" s="17">
        <f>IF(G14="","",IF(UPPER(G14)=UPPER('Race Results'!B6),10,IF(UPPER(G14)=UPPER('Race Results'!C6),6,IF(UPPER(G14)=UPPER('Race Results'!D6),4,IF(UPPER(G14)=UPPER('Race Results'!E6),3,IF(UPPER(G14)=UPPER('Race Results'!F6),2,IF(UPPER(G14)=UPPER('Race Results'!G6),1,0)))))))</f>
        <v>6</v>
      </c>
      <c r="I14" s="15" t="s">
        <v>150</v>
      </c>
      <c r="J14" s="17">
        <f>IF(I14="","",IF(UPPER(I14)=UPPER('Race Results'!B7),10,IF(UPPER(I14)=UPPER('Race Results'!C7),6,IF(UPPER(I14)=UPPER('Race Results'!D7),4,IF(UPPER(I14)=UPPER('Race Results'!E7),3,IF(UPPER(I14)=UPPER('Race Results'!F7),2,IF(UPPER(I14)=UPPER('Race Results'!G7),1,0)))))))</f>
        <v>0</v>
      </c>
      <c r="K14" s="15" t="s">
        <v>183</v>
      </c>
      <c r="L14" s="17">
        <f>IF(K14="","",IF(UPPER(K14)=UPPER('Race Results'!B8),10,IF(UPPER(K14)=UPPER('Race Results'!C8),6,IF(UPPER(K14)=UPPER('Race Results'!D8),4,IF(UPPER(K14)=UPPER('Race Results'!E8),3,IF(UPPER(K14)=UPPER('Race Results'!F8),2,IF(UPPER(K14)=UPPER('Race Results'!G8),1,0)))))))</f>
        <v>0</v>
      </c>
      <c r="M14" s="18">
        <f t="shared" si="0"/>
        <v>6</v>
      </c>
    </row>
    <row r="15" spans="1:13" ht="15.6" x14ac:dyDescent="0.3">
      <c r="A15" s="4">
        <v>12</v>
      </c>
      <c r="B15" s="5" t="s">
        <v>75</v>
      </c>
      <c r="C15" s="4" t="s">
        <v>99</v>
      </c>
      <c r="D15" s="17">
        <f>IF(C15="","",IF(UPPER(C15)=UPPER('Race Results'!B4),10,IF(UPPER(C15)=UPPER('Race Results'!C4),6,IF(UPPER(C15)=UPPER('Race Results'!D4),4,IF(UPPER(C15)=UPPER('Race Results'!E4),3,IF(UPPER(C15)=UPPER('Race Results'!F4),2,IF(UPPER(C15)=UPPER('Race Results'!G4),1,0)))))))</f>
        <v>3</v>
      </c>
      <c r="E15" s="4" t="s">
        <v>112</v>
      </c>
      <c r="F15" s="17">
        <f>IF(E15="","",IF(UPPER(E15)=UPPER('Race Results'!B5),10,IF(UPPER(E15)=UPPER('Race Results'!C5),6,IF(UPPER(E15)=UPPER('Race Results'!D5),4,IF(UPPER(E15)=UPPER('Race Results'!E5),3,IF(UPPER(E15)=UPPER('Race Results'!F5),2,IF(UPPER(E15)=UPPER('Race Results'!G5),1,0)))))))</f>
        <v>10</v>
      </c>
      <c r="G15" s="4" t="s">
        <v>141</v>
      </c>
      <c r="H15" s="17">
        <f>IF(G15="","",IF(UPPER(G15)=UPPER('Race Results'!B6),10,IF(UPPER(G15)=UPPER('Race Results'!C6),6,IF(UPPER(G15)=UPPER('Race Results'!D6),4,IF(UPPER(G15)=UPPER('Race Results'!E6),3,IF(UPPER(G15)=UPPER('Race Results'!F6),2,IF(UPPER(G15)=UPPER('Race Results'!G6),1,0)))))))</f>
        <v>3</v>
      </c>
      <c r="I15" s="4" t="s">
        <v>155</v>
      </c>
      <c r="J15" s="17">
        <f>IF(I15="","",IF(UPPER(I15)=UPPER('Race Results'!B7),10,IF(UPPER(I15)=UPPER('Race Results'!C7),6,IF(UPPER(I15)=UPPER('Race Results'!D7),4,IF(UPPER(I15)=UPPER('Race Results'!E7),3,IF(UPPER(I15)=UPPER('Race Results'!F7),2,IF(UPPER(I15)=UPPER('Race Results'!G7),1,0)))))))</f>
        <v>0</v>
      </c>
      <c r="K15" s="4" t="s">
        <v>180</v>
      </c>
      <c r="L15" s="17">
        <f>IF(K15="","",IF(UPPER(K15)=UPPER('Race Results'!B8),10,IF(UPPER(K15)=UPPER('Race Results'!C8),6,IF(UPPER(K15)=UPPER('Race Results'!D8),4,IF(UPPER(K15)=UPPER('Race Results'!E8),3,IF(UPPER(K15)=UPPER('Race Results'!F8),2,IF(UPPER(K15)=UPPER('Race Results'!G8),1,0)))))))</f>
        <v>0</v>
      </c>
      <c r="M15" s="18">
        <f t="shared" si="0"/>
        <v>16</v>
      </c>
    </row>
    <row r="16" spans="1:13" ht="15.6" x14ac:dyDescent="0.3">
      <c r="A16" s="15">
        <v>13</v>
      </c>
      <c r="B16" s="16" t="s">
        <v>76</v>
      </c>
      <c r="C16" s="15" t="s">
        <v>101</v>
      </c>
      <c r="D16" s="17">
        <f>IF(C16="","",IF(UPPER(C16)=UPPER('Race Results'!B4),10,IF(UPPER(C16)=UPPER('Race Results'!C4),6,IF(UPPER(C16)=UPPER('Race Results'!D4),4,IF(UPPER(C16)=UPPER('Race Results'!E4),3,IF(UPPER(C16)=UPPER('Race Results'!F4),2,IF(UPPER(C16)=UPPER('Race Results'!G4),1,0)))))))</f>
        <v>6</v>
      </c>
      <c r="E16" s="15" t="s">
        <v>119</v>
      </c>
      <c r="F16" s="17">
        <f>IF(E16="","",IF(UPPER(E16)=UPPER('Race Results'!B5),10,IF(UPPER(E16)=UPPER('Race Results'!C5),6,IF(UPPER(E16)=UPPER('Race Results'!D5),4,IF(UPPER(E16)=UPPER('Race Results'!E5),3,IF(UPPER(E16)=UPPER('Race Results'!F5),2,IF(UPPER(E16)=UPPER('Race Results'!G5),1,0)))))))</f>
        <v>6</v>
      </c>
      <c r="G16" s="15" t="s">
        <v>144</v>
      </c>
      <c r="H16" s="17">
        <f>IF(G16="","",IF(UPPER(G16)=UPPER('Race Results'!B6),10,IF(UPPER(G16)=UPPER('Race Results'!C6),6,IF(UPPER(G16)=UPPER('Race Results'!D6),4,IF(UPPER(G16)=UPPER('Race Results'!E6),3,IF(UPPER(G16)=UPPER('Race Results'!F6),2,IF(UPPER(G16)=UPPER('Race Results'!G6),1,0)))))))</f>
        <v>2</v>
      </c>
      <c r="I16" s="15" t="s">
        <v>148</v>
      </c>
      <c r="J16" s="17">
        <f>IF(I16="","",IF(UPPER(I16)=UPPER('Race Results'!B7),10,IF(UPPER(I16)=UPPER('Race Results'!C7),6,IF(UPPER(I16)=UPPER('Race Results'!D7),4,IF(UPPER(I16)=UPPER('Race Results'!E7),3,IF(UPPER(I16)=UPPER('Race Results'!F7),2,IF(UPPER(I16)=UPPER('Race Results'!G7),1,0)))))))</f>
        <v>0</v>
      </c>
      <c r="K16" s="15" t="s">
        <v>170</v>
      </c>
      <c r="L16" s="17">
        <f>IF(K16="","",IF(UPPER(K16)=UPPER('Race Results'!B8),10,IF(UPPER(K16)=UPPER('Race Results'!C8),6,IF(UPPER(K16)=UPPER('Race Results'!D8),4,IF(UPPER(K16)=UPPER('Race Results'!E8),3,IF(UPPER(K16)=UPPER('Race Results'!F8),2,IF(UPPER(K16)=UPPER('Race Results'!G8),1,0)))))))</f>
        <v>0</v>
      </c>
      <c r="M16" s="18">
        <f t="shared" si="0"/>
        <v>14</v>
      </c>
    </row>
    <row r="17" spans="1:13" ht="15.6" x14ac:dyDescent="0.3">
      <c r="A17" s="4">
        <v>14</v>
      </c>
      <c r="B17" s="5" t="s">
        <v>77</v>
      </c>
      <c r="C17" s="4" t="s">
        <v>103</v>
      </c>
      <c r="D17" s="17">
        <f>IF(C17="","",IF(UPPER(C17)=UPPER('Race Results'!B4),10,IF(UPPER(C17)=UPPER('Race Results'!C4),6,IF(UPPER(C17)=UPPER('Race Results'!D4),4,IF(UPPER(C17)=UPPER('Race Results'!E4),3,IF(UPPER(C17)=UPPER('Race Results'!F4),2,IF(UPPER(C17)=UPPER('Race Results'!G4),1,0)))))))</f>
        <v>10</v>
      </c>
      <c r="E17" s="4" t="s">
        <v>128</v>
      </c>
      <c r="F17" s="17">
        <f>IF(E17="","",IF(UPPER(E17)=UPPER('Race Results'!B5),10,IF(UPPER(E17)=UPPER('Race Results'!C5),6,IF(UPPER(E17)=UPPER('Race Results'!D5),4,IF(UPPER(E17)=UPPER('Race Results'!E5),3,IF(UPPER(E17)=UPPER('Race Results'!F5),2,IF(UPPER(E17)=UPPER('Race Results'!G5),1,0)))))))</f>
        <v>0</v>
      </c>
      <c r="G17" s="4" t="s">
        <v>143</v>
      </c>
      <c r="H17" s="17">
        <f>IF(G17="","",IF(UPPER(G17)=UPPER('Race Results'!B6),10,IF(UPPER(G17)=UPPER('Race Results'!C6),6,IF(UPPER(G17)=UPPER('Race Results'!D6),4,IF(UPPER(G17)=UPPER('Race Results'!E6),3,IF(UPPER(G17)=UPPER('Race Results'!F6),2,IF(UPPER(G17)=UPPER('Race Results'!G6),1,0)))))))</f>
        <v>10</v>
      </c>
      <c r="I17" s="4" t="s">
        <v>153</v>
      </c>
      <c r="J17" s="17">
        <f>IF(I17="","",IF(UPPER(I17)=UPPER('Race Results'!B7),10,IF(UPPER(I17)=UPPER('Race Results'!C7),6,IF(UPPER(I17)=UPPER('Race Results'!D7),4,IF(UPPER(I17)=UPPER('Race Results'!E7),3,IF(UPPER(I17)=UPPER('Race Results'!F7),2,IF(UPPER(I17)=UPPER('Race Results'!G7),1,0)))))))</f>
        <v>0</v>
      </c>
      <c r="K17" s="4" t="s">
        <v>158</v>
      </c>
      <c r="L17" s="17">
        <f>IF(K17="","",IF(UPPER(K17)=UPPER('Race Results'!B8),10,IF(UPPER(K17)=UPPER('Race Results'!C8),6,IF(UPPER(K17)=UPPER('Race Results'!D8),4,IF(UPPER(K17)=UPPER('Race Results'!E8),3,IF(UPPER(K17)=UPPER('Race Results'!F8),2,IF(UPPER(K17)=UPPER('Race Results'!G8),1,0)))))))</f>
        <v>0</v>
      </c>
      <c r="M17" s="18">
        <f t="shared" si="0"/>
        <v>20</v>
      </c>
    </row>
    <row r="18" spans="1:13" ht="15.6" x14ac:dyDescent="0.3">
      <c r="A18" s="15">
        <v>15</v>
      </c>
      <c r="B18" s="16" t="s">
        <v>78</v>
      </c>
      <c r="C18" s="15" t="s">
        <v>102</v>
      </c>
      <c r="D18" s="17">
        <f>IF(C18="","",IF(UPPER(C18)=UPPER('Race Results'!B4),10,IF(UPPER(C18)=UPPER('Race Results'!C4),6,IF(UPPER(C18)=UPPER('Race Results'!D4),4,IF(UPPER(C18)=UPPER('Race Results'!E4),3,IF(UPPER(C18)=UPPER('Race Results'!F4),2,IF(UPPER(C18)=UPPER('Race Results'!G4),1,0)))))))</f>
        <v>2</v>
      </c>
      <c r="E18" s="15" t="s">
        <v>133</v>
      </c>
      <c r="F18" s="17">
        <f>IF(E18="","",IF(UPPER(E18)=UPPER('Race Results'!B5),10,IF(UPPER(E18)=UPPER('Race Results'!C5),6,IF(UPPER(E18)=UPPER('Race Results'!D5),4,IF(UPPER(E18)=UPPER('Race Results'!E5),3,IF(UPPER(E18)=UPPER('Race Results'!F5),2,IF(UPPER(E18)=UPPER('Race Results'!G5),1,0)))))))</f>
        <v>0</v>
      </c>
      <c r="G18" s="15" t="s">
        <v>134</v>
      </c>
      <c r="H18" s="17">
        <f>IF(G18="","",IF(UPPER(G18)=UPPER('Race Results'!B6),10,IF(UPPER(G18)=UPPER('Race Results'!C6),6,IF(UPPER(G18)=UPPER('Race Results'!D6),4,IF(UPPER(G18)=UPPER('Race Results'!E6),3,IF(UPPER(G18)=UPPER('Race Results'!F6),2,IF(UPPER(G18)=UPPER('Race Results'!G6),1,0)))))))</f>
        <v>4</v>
      </c>
      <c r="I18" s="15" t="s">
        <v>150</v>
      </c>
      <c r="J18" s="17">
        <f>IF(I18="","",IF(UPPER(I18)=UPPER('Race Results'!B7),10,IF(UPPER(I18)=UPPER('Race Results'!C7),6,IF(UPPER(I18)=UPPER('Race Results'!D7),4,IF(UPPER(I18)=UPPER('Race Results'!E7),3,IF(UPPER(I18)=UPPER('Race Results'!F7),2,IF(UPPER(I18)=UPPER('Race Results'!G7),1,0)))))))</f>
        <v>0</v>
      </c>
      <c r="K18" s="15" t="s">
        <v>171</v>
      </c>
      <c r="L18" s="17">
        <f>IF(K18="","",IF(UPPER(K18)=UPPER('Race Results'!B8),10,IF(UPPER(K18)=UPPER('Race Results'!C8),6,IF(UPPER(K18)=UPPER('Race Results'!D8),4,IF(UPPER(K18)=UPPER('Race Results'!E8),3,IF(UPPER(K18)=UPPER('Race Results'!F8),2,IF(UPPER(K18)=UPPER('Race Results'!G8),1,0)))))))</f>
        <v>0</v>
      </c>
      <c r="M18" s="18">
        <f t="shared" si="0"/>
        <v>6</v>
      </c>
    </row>
    <row r="19" spans="1:13" ht="15.6" x14ac:dyDescent="0.3">
      <c r="A19" s="4">
        <v>16</v>
      </c>
      <c r="B19" s="5" t="s">
        <v>79</v>
      </c>
      <c r="C19" s="4" t="s">
        <v>110</v>
      </c>
      <c r="D19" s="17">
        <f>IF(C19="","",IF(UPPER(C19)=UPPER('Race Results'!B4),10,IF(UPPER(C19)=UPPER('Race Results'!C4),6,IF(UPPER(C19)=UPPER('Race Results'!D4),4,IF(UPPER(C19)=UPPER('Race Results'!E4),3,IF(UPPER(C19)=UPPER('Race Results'!F4),2,IF(UPPER(C19)=UPPER('Race Results'!G4),1,0)))))))</f>
        <v>1</v>
      </c>
      <c r="E19" s="4" t="s">
        <v>114</v>
      </c>
      <c r="F19" s="17">
        <f>IF(E19="","",IF(UPPER(E19)=UPPER('Race Results'!B5),10,IF(UPPER(E19)=UPPER('Race Results'!C5),6,IF(UPPER(E19)=UPPER('Race Results'!D5),4,IF(UPPER(E19)=UPPER('Race Results'!E5),3,IF(UPPER(E19)=UPPER('Race Results'!F5),2,IF(UPPER(E19)=UPPER('Race Results'!G5),1,0)))))))</f>
        <v>0</v>
      </c>
      <c r="G19" s="4" t="s">
        <v>139</v>
      </c>
      <c r="H19" s="17">
        <f>IF(G19="","",IF(UPPER(G19)=UPPER('Race Results'!B6),10,IF(UPPER(G19)=UPPER('Race Results'!C6),6,IF(UPPER(G19)=UPPER('Race Results'!D6),4,IF(UPPER(G19)=UPPER('Race Results'!E6),3,IF(UPPER(G19)=UPPER('Race Results'!F6),2,IF(UPPER(G19)=UPPER('Race Results'!G6),1,0)))))))</f>
        <v>1</v>
      </c>
      <c r="I19" s="4" t="s">
        <v>147</v>
      </c>
      <c r="J19" s="17">
        <f>IF(I19="","",IF(UPPER(I19)=UPPER('Race Results'!B7),10,IF(UPPER(I19)=UPPER('Race Results'!C7),6,IF(UPPER(I19)=UPPER('Race Results'!D7),4,IF(UPPER(I19)=UPPER('Race Results'!E7),3,IF(UPPER(I19)=UPPER('Race Results'!F7),2,IF(UPPER(I19)=UPPER('Race Results'!G7),1,0)))))))</f>
        <v>0</v>
      </c>
      <c r="K19" s="4" t="s">
        <v>164</v>
      </c>
      <c r="L19" s="17">
        <f>IF(K19="","",IF(UPPER(K19)=UPPER('Race Results'!B8),10,IF(UPPER(K19)=UPPER('Race Results'!C8),6,IF(UPPER(K19)=UPPER('Race Results'!D8),4,IF(UPPER(K19)=UPPER('Race Results'!E8),3,IF(UPPER(K19)=UPPER('Race Results'!F8),2,IF(UPPER(K19)=UPPER('Race Results'!G8),1,0)))))))</f>
        <v>0</v>
      </c>
      <c r="M19" s="18">
        <f t="shared" si="0"/>
        <v>2</v>
      </c>
    </row>
    <row r="20" spans="1:13" ht="15.6" x14ac:dyDescent="0.3">
      <c r="A20" s="15">
        <v>17</v>
      </c>
      <c r="B20" s="16" t="s">
        <v>80</v>
      </c>
      <c r="C20" s="15" t="s">
        <v>103</v>
      </c>
      <c r="D20" s="17">
        <f>IF(C20="","",IF(UPPER(C20)=UPPER('Race Results'!B4),10,IF(UPPER(C20)=UPPER('Race Results'!C4),6,IF(UPPER(C20)=UPPER('Race Results'!D4),4,IF(UPPER(C20)=UPPER('Race Results'!E4),3,IF(UPPER(C20)=UPPER('Race Results'!F4),2,IF(UPPER(C20)=UPPER('Race Results'!G4),1,0)))))))</f>
        <v>10</v>
      </c>
      <c r="E20" s="15" t="s">
        <v>112</v>
      </c>
      <c r="F20" s="17">
        <f>IF(E20="","",IF(UPPER(E20)=UPPER('Race Results'!B5),10,IF(UPPER(E20)=UPPER('Race Results'!C5),6,IF(UPPER(E20)=UPPER('Race Results'!D5),4,IF(UPPER(E20)=UPPER('Race Results'!E5),3,IF(UPPER(E20)=UPPER('Race Results'!F5),2,IF(UPPER(E20)=UPPER('Race Results'!G5),1,0)))))))</f>
        <v>10</v>
      </c>
      <c r="G20" s="15" t="s">
        <v>143</v>
      </c>
      <c r="H20" s="17">
        <f>IF(G20="","",IF(UPPER(G20)=UPPER('Race Results'!B6),10,IF(UPPER(G20)=UPPER('Race Results'!C6),6,IF(UPPER(G20)=UPPER('Race Results'!D6),4,IF(UPPER(G20)=UPPER('Race Results'!E6),3,IF(UPPER(G20)=UPPER('Race Results'!F6),2,IF(UPPER(G20)=UPPER('Race Results'!G6),1,0)))))))</f>
        <v>10</v>
      </c>
      <c r="I20" s="15" t="s">
        <v>150</v>
      </c>
      <c r="J20" s="17">
        <f>IF(I20="","",IF(UPPER(I20)=UPPER('Race Results'!B7),10,IF(UPPER(I20)=UPPER('Race Results'!C7),6,IF(UPPER(I20)=UPPER('Race Results'!D7),4,IF(UPPER(I20)=UPPER('Race Results'!E7),3,IF(UPPER(I20)=UPPER('Race Results'!F7),2,IF(UPPER(I20)=UPPER('Race Results'!G7),1,0)))))))</f>
        <v>0</v>
      </c>
      <c r="K20" s="15" t="s">
        <v>183</v>
      </c>
      <c r="L20" s="17">
        <f>IF(K20="","",IF(UPPER(K20)=UPPER('Race Results'!B8),10,IF(UPPER(K20)=UPPER('Race Results'!C8),6,IF(UPPER(K20)=UPPER('Race Results'!D8),4,IF(UPPER(K20)=UPPER('Race Results'!E8),3,IF(UPPER(K20)=UPPER('Race Results'!F8),2,IF(UPPER(K20)=UPPER('Race Results'!G8),1,0)))))))</f>
        <v>0</v>
      </c>
      <c r="M20" s="18">
        <f t="shared" si="0"/>
        <v>30</v>
      </c>
    </row>
    <row r="21" spans="1:13" ht="15.6" x14ac:dyDescent="0.3">
      <c r="A21" s="4">
        <v>18</v>
      </c>
      <c r="B21" s="16" t="s">
        <v>81</v>
      </c>
      <c r="C21" s="4" t="s">
        <v>100</v>
      </c>
      <c r="D21" s="17">
        <f>IF(C21="","",IF(UPPER(C21)=UPPER('Race Results'!B4),10,IF(UPPER(C21)=UPPER('Race Results'!C4),6,IF(UPPER(C21)=UPPER('Race Results'!D4),4,IF(UPPER(C21)=UPPER('Race Results'!E4),3,IF(UPPER(C21)=UPPER('Race Results'!F4),2,IF(UPPER(C21)=UPPER('Race Results'!G4),1,0)))))))</f>
        <v>0</v>
      </c>
      <c r="E21" s="4" t="s">
        <v>119</v>
      </c>
      <c r="F21" s="17">
        <f>IF(E21="","",IF(UPPER(E21)=UPPER('Race Results'!B5),10,IF(UPPER(E21)=UPPER('Race Results'!C5),6,IF(UPPER(E21)=UPPER('Race Results'!D5),4,IF(UPPER(E21)=UPPER('Race Results'!E5),3,IF(UPPER(E21)=UPPER('Race Results'!F5),2,IF(UPPER(E21)=UPPER('Race Results'!G5),1,0)))))))</f>
        <v>6</v>
      </c>
      <c r="G21" s="4" t="s">
        <v>137</v>
      </c>
      <c r="H21" s="17">
        <f>IF(G21="","",IF(UPPER(G21)=UPPER('Race Results'!B6),10,IF(UPPER(G21)=UPPER('Race Results'!C6),6,IF(UPPER(G21)=UPPER('Race Results'!D6),4,IF(UPPER(G21)=UPPER('Race Results'!E6),3,IF(UPPER(G21)=UPPER('Race Results'!F6),2,IF(UPPER(G21)=UPPER('Race Results'!G6),1,0)))))))</f>
        <v>6</v>
      </c>
      <c r="I21" s="4" t="s">
        <v>151</v>
      </c>
      <c r="J21" s="17">
        <f>IF(I21="","",IF(UPPER(I21)=UPPER('Race Results'!B7),10,IF(UPPER(I21)=UPPER('Race Results'!C7),6,IF(UPPER(I21)=UPPER('Race Results'!D7),4,IF(UPPER(I21)=UPPER('Race Results'!E7),3,IF(UPPER(I21)=UPPER('Race Results'!F7),2,IF(UPPER(I21)=UPPER('Race Results'!G7),1,0)))))))</f>
        <v>0</v>
      </c>
      <c r="K21" s="4" t="s">
        <v>157</v>
      </c>
      <c r="L21" s="17">
        <f>IF(K21="","",IF(UPPER(K21)=UPPER('Race Results'!B8),10,IF(UPPER(K21)=UPPER('Race Results'!C8),6,IF(UPPER(K21)=UPPER('Race Results'!D8),4,IF(UPPER(K21)=UPPER('Race Results'!E8),3,IF(UPPER(K21)=UPPER('Race Results'!F8),2,IF(UPPER(K21)=UPPER('Race Results'!G8),1,0)))))))</f>
        <v>0</v>
      </c>
      <c r="M21" s="18">
        <f t="shared" si="0"/>
        <v>12</v>
      </c>
    </row>
    <row r="22" spans="1:13" ht="15.6" x14ac:dyDescent="0.3">
      <c r="A22" s="15">
        <v>19</v>
      </c>
      <c r="B22" s="16" t="s">
        <v>82</v>
      </c>
      <c r="C22" s="15" t="s">
        <v>106</v>
      </c>
      <c r="D22" s="17">
        <f>IF(C22="","",IF(UPPER(C22)=UPPER('Race Results'!B4),10,IF(UPPER(C22)=UPPER('Race Results'!C4),6,IF(UPPER(C22)=UPPER('Race Results'!D4),4,IF(UPPER(C22)=UPPER('Race Results'!E4),3,IF(UPPER(C22)=UPPER('Race Results'!F4),2,IF(UPPER(C22)=UPPER('Race Results'!G4),1,0)))))))</f>
        <v>4</v>
      </c>
      <c r="E22" s="15" t="s">
        <v>122</v>
      </c>
      <c r="F22" s="17">
        <f>IF(E22="","",IF(UPPER(E22)=UPPER('Race Results'!B5),10,IF(UPPER(E22)=UPPER('Race Results'!C5),6,IF(UPPER(E22)=UPPER('Race Results'!D5),4,IF(UPPER(E22)=UPPER('Race Results'!E5),3,IF(UPPER(E22)=UPPER('Race Results'!F5),2,IF(UPPER(E22)=UPPER('Race Results'!G5),1,0)))))))</f>
        <v>0</v>
      </c>
      <c r="G22" s="15" t="s">
        <v>141</v>
      </c>
      <c r="H22" s="17">
        <f>IF(G22="","",IF(UPPER(G22)=UPPER('Race Results'!B6),10,IF(UPPER(G22)=UPPER('Race Results'!C6),6,IF(UPPER(G22)=UPPER('Race Results'!D6),4,IF(UPPER(G22)=UPPER('Race Results'!E6),3,IF(UPPER(G22)=UPPER('Race Results'!F6),2,IF(UPPER(G22)=UPPER('Race Results'!G6),1,0)))))))</f>
        <v>3</v>
      </c>
      <c r="I22" s="15" t="s">
        <v>155</v>
      </c>
      <c r="J22" s="17">
        <f>IF(I22="","",IF(UPPER(I22)=UPPER('Race Results'!B7),10,IF(UPPER(I22)=UPPER('Race Results'!C7),6,IF(UPPER(I22)=UPPER('Race Results'!D7),4,IF(UPPER(I22)=UPPER('Race Results'!E7),3,IF(UPPER(I22)=UPPER('Race Results'!F7),2,IF(UPPER(I22)=UPPER('Race Results'!G7),1,0)))))))</f>
        <v>0</v>
      </c>
      <c r="K22" s="15" t="s">
        <v>170</v>
      </c>
      <c r="L22" s="17">
        <f>IF(K22="","",IF(UPPER(K22)=UPPER('Race Results'!B8),10,IF(UPPER(K22)=UPPER('Race Results'!C8),6,IF(UPPER(K22)=UPPER('Race Results'!D8),4,IF(UPPER(K22)=UPPER('Race Results'!E8),3,IF(UPPER(K22)=UPPER('Race Results'!F8),2,IF(UPPER(K22)=UPPER('Race Results'!G8),1,0)))))))</f>
        <v>0</v>
      </c>
      <c r="M22" s="18">
        <f t="shared" si="0"/>
        <v>7</v>
      </c>
    </row>
    <row r="23" spans="1:13" ht="15.6" x14ac:dyDescent="0.3">
      <c r="A23" s="4">
        <v>20</v>
      </c>
      <c r="B23" s="5" t="s">
        <v>83</v>
      </c>
      <c r="C23" s="4" t="s">
        <v>101</v>
      </c>
      <c r="D23" s="17">
        <f>IF(C23="","",IF(UPPER(C23)=UPPER('Race Results'!B4),10,IF(UPPER(C23)=UPPER('Race Results'!C4),6,IF(UPPER(C23)=UPPER('Race Results'!D4),4,IF(UPPER(C23)=UPPER('Race Results'!E4),3,IF(UPPER(C23)=UPPER('Race Results'!F4),2,IF(UPPER(C23)=UPPER('Race Results'!G4),1,0)))))))</f>
        <v>6</v>
      </c>
      <c r="E23" s="4" t="s">
        <v>128</v>
      </c>
      <c r="F23" s="17">
        <f>IF(E23="","",IF(UPPER(E23)=UPPER('Race Results'!B5),10,IF(UPPER(E23)=UPPER('Race Results'!C5),6,IF(UPPER(E23)=UPPER('Race Results'!D5),4,IF(UPPER(E23)=UPPER('Race Results'!E5),3,IF(UPPER(E23)=UPPER('Race Results'!F5),2,IF(UPPER(E23)=UPPER('Race Results'!G5),1,0)))))))</f>
        <v>0</v>
      </c>
      <c r="G23" s="4" t="s">
        <v>144</v>
      </c>
      <c r="H23" s="17">
        <f>IF(G23="","",IF(UPPER(G23)=UPPER('Race Results'!B6),10,IF(UPPER(G23)=UPPER('Race Results'!C6),6,IF(UPPER(G23)=UPPER('Race Results'!D6),4,IF(UPPER(G23)=UPPER('Race Results'!E6),3,IF(UPPER(G23)=UPPER('Race Results'!F6),2,IF(UPPER(G23)=UPPER('Race Results'!G6),1,0)))))))</f>
        <v>2</v>
      </c>
      <c r="I23" s="4" t="s">
        <v>148</v>
      </c>
      <c r="J23" s="17">
        <f>IF(I23="","",IF(UPPER(I23)=UPPER('Race Results'!B7),10,IF(UPPER(I23)=UPPER('Race Results'!C7),6,IF(UPPER(I23)=UPPER('Race Results'!D7),4,IF(UPPER(I23)=UPPER('Race Results'!E7),3,IF(UPPER(I23)=UPPER('Race Results'!F7),2,IF(UPPER(I23)=UPPER('Race Results'!G7),1,0)))))))</f>
        <v>0</v>
      </c>
      <c r="K23" s="4" t="s">
        <v>180</v>
      </c>
      <c r="L23" s="17">
        <f>IF(K23="","",IF(UPPER(K23)=UPPER('Race Results'!B8),10,IF(UPPER(K23)=UPPER('Race Results'!C8),6,IF(UPPER(K23)=UPPER('Race Results'!D8),4,IF(UPPER(K23)=UPPER('Race Results'!E8),3,IF(UPPER(K23)=UPPER('Race Results'!F8),2,IF(UPPER(K23)=UPPER('Race Results'!G8),1,0)))))))</f>
        <v>0</v>
      </c>
      <c r="M23" s="18">
        <f t="shared" si="0"/>
        <v>8</v>
      </c>
    </row>
    <row r="24" spans="1:13" ht="15.6" x14ac:dyDescent="0.3">
      <c r="A24" s="15">
        <v>21</v>
      </c>
      <c r="B24" s="16" t="s">
        <v>84</v>
      </c>
      <c r="C24" s="15" t="s">
        <v>103</v>
      </c>
      <c r="D24" s="17">
        <f>IF(C24="","",IF(UPPER(C24)=UPPER('Race Results'!B4),10,IF(UPPER(C24)=UPPER('Race Results'!C4),6,IF(UPPER(C24)=UPPER('Race Results'!D4),4,IF(UPPER(C24)=UPPER('Race Results'!E4),3,IF(UPPER(C24)=UPPER('Race Results'!F4),2,IF(UPPER(C24)=UPPER('Race Results'!G4),1,0)))))))</f>
        <v>10</v>
      </c>
      <c r="E24" s="15" t="s">
        <v>114</v>
      </c>
      <c r="F24" s="17">
        <f>IF(E24="","",IF(UPPER(E24)=UPPER('Race Results'!B5),10,IF(UPPER(E24)=UPPER('Race Results'!C5),6,IF(UPPER(E24)=UPPER('Race Results'!D5),4,IF(UPPER(E24)=UPPER('Race Results'!E5),3,IF(UPPER(E24)=UPPER('Race Results'!F5),2,IF(UPPER(E24)=UPPER('Race Results'!G5),1,0)))))))</f>
        <v>0</v>
      </c>
      <c r="G24" s="15" t="s">
        <v>143</v>
      </c>
      <c r="H24" s="17">
        <f>IF(G24="","",IF(UPPER(G24)=UPPER('Race Results'!B6),10,IF(UPPER(G24)=UPPER('Race Results'!C6),6,IF(UPPER(G24)=UPPER('Race Results'!D6),4,IF(UPPER(G24)=UPPER('Race Results'!E6),3,IF(UPPER(G24)=UPPER('Race Results'!F6),2,IF(UPPER(G24)=UPPER('Race Results'!G6),1,0)))))))</f>
        <v>10</v>
      </c>
      <c r="I24" s="15" t="s">
        <v>147</v>
      </c>
      <c r="J24" s="17">
        <f>IF(I24="","",IF(UPPER(I24)=UPPER('Race Results'!B7),10,IF(UPPER(I24)=UPPER('Race Results'!C7),6,IF(UPPER(I24)=UPPER('Race Results'!D7),4,IF(UPPER(I24)=UPPER('Race Results'!E7),3,IF(UPPER(I24)=UPPER('Race Results'!F7),2,IF(UPPER(I24)=UPPER('Race Results'!G7),1,0)))))))</f>
        <v>0</v>
      </c>
      <c r="K24" s="15" t="s">
        <v>171</v>
      </c>
      <c r="L24" s="17">
        <f>IF(K24="","",IF(UPPER(K24)=UPPER('Race Results'!B8),10,IF(UPPER(K24)=UPPER('Race Results'!C8),6,IF(UPPER(K24)=UPPER('Race Results'!D8),4,IF(UPPER(K24)=UPPER('Race Results'!E8),3,IF(UPPER(K24)=UPPER('Race Results'!F8),2,IF(UPPER(K24)=UPPER('Race Results'!G8),1,0)))))))</f>
        <v>0</v>
      </c>
      <c r="M24" s="18">
        <f t="shared" si="0"/>
        <v>20</v>
      </c>
    </row>
    <row r="25" spans="1:13" ht="15.6" x14ac:dyDescent="0.3">
      <c r="A25" s="4">
        <v>22</v>
      </c>
      <c r="B25" s="5" t="s">
        <v>85</v>
      </c>
      <c r="C25" s="4" t="s">
        <v>99</v>
      </c>
      <c r="D25" s="17">
        <f>IF(C25="","",IF(UPPER(C25)=UPPER('Race Results'!B4),10,IF(UPPER(C25)=UPPER('Race Results'!C4),6,IF(UPPER(C25)=UPPER('Race Results'!D4),4,IF(UPPER(C25)=UPPER('Race Results'!E4),3,IF(UPPER(C25)=UPPER('Race Results'!F4),2,IF(UPPER(C25)=UPPER('Race Results'!G4),1,0)))))))</f>
        <v>3</v>
      </c>
      <c r="E25" s="4" t="s">
        <v>112</v>
      </c>
      <c r="F25" s="17">
        <f>IF(E25="","",IF(UPPER(E25)=UPPER('Race Results'!B5),10,IF(UPPER(E25)=UPPER('Race Results'!C5),6,IF(UPPER(E25)=UPPER('Race Results'!D5),4,IF(UPPER(E25)=UPPER('Race Results'!E5),3,IF(UPPER(E25)=UPPER('Race Results'!F5),2,IF(UPPER(E25)=UPPER('Race Results'!G5),1,0)))))))</f>
        <v>10</v>
      </c>
      <c r="G25" s="4" t="s">
        <v>134</v>
      </c>
      <c r="H25" s="17">
        <f>IF(G25="","",IF(UPPER(G25)=UPPER('Race Results'!B6),10,IF(UPPER(G25)=UPPER('Race Results'!C6),6,IF(UPPER(G25)=UPPER('Race Results'!D6),4,IF(UPPER(G25)=UPPER('Race Results'!E6),3,IF(UPPER(G25)=UPPER('Race Results'!F6),2,IF(UPPER(G25)=UPPER('Race Results'!G6),1,0)))))))</f>
        <v>4</v>
      </c>
      <c r="I25" s="4" t="s">
        <v>150</v>
      </c>
      <c r="J25" s="17">
        <f>IF(I25="","",IF(UPPER(I25)=UPPER('Race Results'!B7),10,IF(UPPER(I25)=UPPER('Race Results'!C7),6,IF(UPPER(I25)=UPPER('Race Results'!D7),4,IF(UPPER(I25)=UPPER('Race Results'!E7),3,IF(UPPER(I25)=UPPER('Race Results'!F7),2,IF(UPPER(I25)=UPPER('Race Results'!G7),1,0)))))))</f>
        <v>0</v>
      </c>
      <c r="K25" s="4" t="s">
        <v>183</v>
      </c>
      <c r="L25" s="17">
        <f>IF(K25="","",IF(UPPER(K25)=UPPER('Race Results'!B8),10,IF(UPPER(K25)=UPPER('Race Results'!C8),6,IF(UPPER(K25)=UPPER('Race Results'!D8),4,IF(UPPER(K25)=UPPER('Race Results'!E8),3,IF(UPPER(K25)=UPPER('Race Results'!F8),2,IF(UPPER(K25)=UPPER('Race Results'!G8),1,0)))))))</f>
        <v>0</v>
      </c>
      <c r="M25" s="18">
        <f t="shared" si="0"/>
        <v>17</v>
      </c>
    </row>
    <row r="26" spans="1:13" ht="15.6" x14ac:dyDescent="0.3">
      <c r="A26" s="15">
        <v>23</v>
      </c>
      <c r="B26" s="16" t="s">
        <v>86</v>
      </c>
      <c r="C26" s="15" t="s">
        <v>102</v>
      </c>
      <c r="D26" s="17">
        <f>IF(C26="","",IF(UPPER(C26)=UPPER('Race Results'!B4),10,IF(UPPER(C26)=UPPER('Race Results'!C4),6,IF(UPPER(C26)=UPPER('Race Results'!D4),4,IF(UPPER(C26)=UPPER('Race Results'!E4),3,IF(UPPER(C26)=UPPER('Race Results'!F4),2,IF(UPPER(C26)=UPPER('Race Results'!G4),1,0)))))))</f>
        <v>2</v>
      </c>
      <c r="E26" s="15" t="s">
        <v>119</v>
      </c>
      <c r="F26" s="17">
        <f>IF(E26="","",IF(UPPER(E26)=UPPER('Race Results'!B5),10,IF(UPPER(E26)=UPPER('Race Results'!C5),6,IF(UPPER(E26)=UPPER('Race Results'!D5),4,IF(UPPER(E26)=UPPER('Race Results'!E5),3,IF(UPPER(E26)=UPPER('Race Results'!F5),2,IF(UPPER(E26)=UPPER('Race Results'!G5),1,0)))))))</f>
        <v>6</v>
      </c>
      <c r="G26" s="15" t="s">
        <v>137</v>
      </c>
      <c r="H26" s="17">
        <f>IF(G26="","",IF(UPPER(G26)=UPPER('Race Results'!B6),10,IF(UPPER(G26)=UPPER('Race Results'!C6),6,IF(UPPER(G26)=UPPER('Race Results'!D6),4,IF(UPPER(G26)=UPPER('Race Results'!E6),3,IF(UPPER(G26)=UPPER('Race Results'!F6),2,IF(UPPER(G26)=UPPER('Race Results'!G6),1,0)))))))</f>
        <v>6</v>
      </c>
      <c r="I26" s="15" t="s">
        <v>153</v>
      </c>
      <c r="J26" s="17">
        <f>IF(I26="","",IF(UPPER(I26)=UPPER('Race Results'!B7),10,IF(UPPER(I26)=UPPER('Race Results'!C7),6,IF(UPPER(I26)=UPPER('Race Results'!D7),4,IF(UPPER(I26)=UPPER('Race Results'!E7),3,IF(UPPER(I26)=UPPER('Race Results'!F7),2,IF(UPPER(I26)=UPPER('Race Results'!G7),1,0)))))))</f>
        <v>0</v>
      </c>
      <c r="K26" s="15" t="s">
        <v>170</v>
      </c>
      <c r="L26" s="17">
        <f>IF(K26="","",IF(UPPER(K26)=UPPER('Race Results'!B8),10,IF(UPPER(K26)=UPPER('Race Results'!C8),6,IF(UPPER(K26)=UPPER('Race Results'!D8),4,IF(UPPER(K26)=UPPER('Race Results'!E8),3,IF(UPPER(K26)=UPPER('Race Results'!F8),2,IF(UPPER(K26)=UPPER('Race Results'!G8),1,0)))))))</f>
        <v>0</v>
      </c>
      <c r="M26" s="18">
        <f t="shared" si="0"/>
        <v>14</v>
      </c>
    </row>
    <row r="27" spans="1:13" ht="27.6" x14ac:dyDescent="0.3">
      <c r="A27" s="4">
        <v>24</v>
      </c>
      <c r="B27" s="5" t="s">
        <v>87</v>
      </c>
      <c r="C27" s="4" t="s">
        <v>108</v>
      </c>
      <c r="D27" s="17">
        <f>IF(C27="","",IF(UPPER(C27)=UPPER('Race Results'!B4),10,IF(UPPER(C27)=UPPER('Race Results'!C4),6,IF(UPPER(C27)=UPPER('Race Results'!D4),4,IF(UPPER(C27)=UPPER('Race Results'!E4),3,IF(UPPER(C27)=UPPER('Race Results'!F4),2,IF(UPPER(C27)=UPPER('Race Results'!G4),1,0)))))))</f>
        <v>0</v>
      </c>
      <c r="E27" s="4" t="s">
        <v>133</v>
      </c>
      <c r="F27" s="17">
        <f>IF(E27="","",IF(UPPER(E27)=UPPER('Race Results'!B5),10,IF(UPPER(E27)=UPPER('Race Results'!C5),6,IF(UPPER(E27)=UPPER('Race Results'!D5),4,IF(UPPER(E27)=UPPER('Race Results'!E5),3,IF(UPPER(E27)=UPPER('Race Results'!F5),2,IF(UPPER(E27)=UPPER('Race Results'!G5),1,0)))))))</f>
        <v>0</v>
      </c>
      <c r="G27" s="4" t="s">
        <v>141</v>
      </c>
      <c r="H27" s="17">
        <f>IF(G27="","",IF(UPPER(G27)=UPPER('Race Results'!B6),10,IF(UPPER(G27)=UPPER('Race Results'!C6),6,IF(UPPER(G27)=UPPER('Race Results'!D6),4,IF(UPPER(G27)=UPPER('Race Results'!E6),3,IF(UPPER(G27)=UPPER('Race Results'!F6),2,IF(UPPER(G27)=UPPER('Race Results'!G6),1,0)))))))</f>
        <v>3</v>
      </c>
      <c r="I27" s="4" t="s">
        <v>151</v>
      </c>
      <c r="J27" s="17">
        <f>IF(I27="","",IF(UPPER(I27)=UPPER('Race Results'!B7),10,IF(UPPER(I27)=UPPER('Race Results'!C7),6,IF(UPPER(I27)=UPPER('Race Results'!D7),4,IF(UPPER(I27)=UPPER('Race Results'!E7),3,IF(UPPER(I27)=UPPER('Race Results'!F7),2,IF(UPPER(I27)=UPPER('Race Results'!G7),1,0)))))))</f>
        <v>0</v>
      </c>
      <c r="K27" s="4" t="s">
        <v>158</v>
      </c>
      <c r="L27" s="17">
        <f>IF(K27="","",IF(UPPER(K27)=UPPER('Race Results'!B8),10,IF(UPPER(K27)=UPPER('Race Results'!C8),6,IF(UPPER(K27)=UPPER('Race Results'!D8),4,IF(UPPER(K27)=UPPER('Race Results'!E8),3,IF(UPPER(K27)=UPPER('Race Results'!F8),2,IF(UPPER(K27)=UPPER('Race Results'!G8),1,0)))))))</f>
        <v>0</v>
      </c>
      <c r="M27" s="18">
        <f t="shared" si="0"/>
        <v>3</v>
      </c>
    </row>
    <row r="28" spans="1:13" ht="15.6" x14ac:dyDescent="0.3">
      <c r="A28" s="15">
        <v>25</v>
      </c>
      <c r="B28" s="16" t="s">
        <v>88</v>
      </c>
      <c r="C28" s="15" t="s">
        <v>111</v>
      </c>
      <c r="D28" s="17">
        <f>IF(C28="","",IF(UPPER(C28)=UPPER('Race Results'!B4),10,IF(UPPER(C28)=UPPER('Race Results'!C4),6,IF(UPPER(C28)=UPPER('Race Results'!D4),4,IF(UPPER(C28)=UPPER('Race Results'!E4),3,IF(UPPER(C28)=UPPER('Race Results'!F4),2,IF(UPPER(C28)=UPPER('Race Results'!G4),1,0)))))))</f>
        <v>0</v>
      </c>
      <c r="E28" s="15" t="s">
        <v>114</v>
      </c>
      <c r="F28" s="17">
        <f>IF(E28="","",IF(UPPER(E28)=UPPER('Race Results'!B5),10,IF(UPPER(E28)=UPPER('Race Results'!C5),6,IF(UPPER(E28)=UPPER('Race Results'!D5),4,IF(UPPER(E28)=UPPER('Race Results'!E5),3,IF(UPPER(E28)=UPPER('Race Results'!F5),2,IF(UPPER(E28)=UPPER('Race Results'!G5),1,0)))))))</f>
        <v>0</v>
      </c>
      <c r="G28" s="15" t="s">
        <v>143</v>
      </c>
      <c r="H28" s="17">
        <f>IF(G28="","",IF(UPPER(G28)=UPPER('Race Results'!B6),10,IF(UPPER(G28)=UPPER('Race Results'!C6),6,IF(UPPER(G28)=UPPER('Race Results'!D6),4,IF(UPPER(G28)=UPPER('Race Results'!E6),3,IF(UPPER(G28)=UPPER('Race Results'!F6),2,IF(UPPER(G28)=UPPER('Race Results'!G6),1,0)))))))</f>
        <v>10</v>
      </c>
      <c r="I28" s="15" t="s">
        <v>150</v>
      </c>
      <c r="J28" s="17">
        <f>IF(I28="","",IF(UPPER(I28)=UPPER('Race Results'!B7),10,IF(UPPER(I28)=UPPER('Race Results'!C7),6,IF(UPPER(I28)=UPPER('Race Results'!D7),4,IF(UPPER(I28)=UPPER('Race Results'!E7),3,IF(UPPER(I28)=UPPER('Race Results'!F7),2,IF(UPPER(I28)=UPPER('Race Results'!G7),1,0)))))))</f>
        <v>0</v>
      </c>
      <c r="K28" s="15" t="s">
        <v>164</v>
      </c>
      <c r="L28" s="17">
        <f>IF(K28="","",IF(UPPER(K28)=UPPER('Race Results'!B8),10,IF(UPPER(K28)=UPPER('Race Results'!C8),6,IF(UPPER(K28)=UPPER('Race Results'!D8),4,IF(UPPER(K28)=UPPER('Race Results'!E8),3,IF(UPPER(K28)=UPPER('Race Results'!F8),2,IF(UPPER(K28)=UPPER('Race Results'!G8),1,0)))))))</f>
        <v>0</v>
      </c>
      <c r="M28" s="18">
        <f t="shared" si="0"/>
        <v>10</v>
      </c>
    </row>
    <row r="29" spans="1:13" ht="15.6" x14ac:dyDescent="0.3">
      <c r="A29" s="4">
        <v>26</v>
      </c>
      <c r="B29" s="5" t="s">
        <v>89</v>
      </c>
      <c r="C29" s="4" t="s">
        <v>103</v>
      </c>
      <c r="D29" s="17">
        <f>IF(C29="","",IF(UPPER(C29)=UPPER('Race Results'!B4),10,IF(UPPER(C29)=UPPER('Race Results'!C4),6,IF(UPPER(C29)=UPPER('Race Results'!D4),4,IF(UPPER(C29)=UPPER('Race Results'!E4),3,IF(UPPER(C29)=UPPER('Race Results'!F4),2,IF(UPPER(C29)=UPPER('Race Results'!G4),1,0)))))))</f>
        <v>10</v>
      </c>
      <c r="E29" s="4" t="s">
        <v>112</v>
      </c>
      <c r="F29" s="17">
        <f>IF(E29="","",IF(UPPER(E29)=UPPER('Race Results'!B5),10,IF(UPPER(E29)=UPPER('Race Results'!C5),6,IF(UPPER(E29)=UPPER('Race Results'!D5),4,IF(UPPER(E29)=UPPER('Race Results'!E5),3,IF(UPPER(E29)=UPPER('Race Results'!F5),2,IF(UPPER(E29)=UPPER('Race Results'!G5),1,0)))))))</f>
        <v>10</v>
      </c>
      <c r="G29" s="4" t="s">
        <v>144</v>
      </c>
      <c r="H29" s="17">
        <f>IF(G29="","",IF(UPPER(G29)=UPPER('Race Results'!B6),10,IF(UPPER(G29)=UPPER('Race Results'!C6),6,IF(UPPER(G29)=UPPER('Race Results'!D6),4,IF(UPPER(G29)=UPPER('Race Results'!E6),3,IF(UPPER(G29)=UPPER('Race Results'!F6),2,IF(UPPER(G29)=UPPER('Race Results'!G6),1,0)))))))</f>
        <v>2</v>
      </c>
      <c r="I29" s="4" t="s">
        <v>146</v>
      </c>
      <c r="J29" s="17">
        <f>IF(I29="","",IF(UPPER(I29)=UPPER('Race Results'!B7),10,IF(UPPER(I29)=UPPER('Race Results'!C7),6,IF(UPPER(I29)=UPPER('Race Results'!D7),4,IF(UPPER(I29)=UPPER('Race Results'!E7),3,IF(UPPER(I29)=UPPER('Race Results'!F7),2,IF(UPPER(I29)=UPPER('Race Results'!G7),1,0)))))))</f>
        <v>0</v>
      </c>
      <c r="K29" s="4" t="s">
        <v>183</v>
      </c>
      <c r="L29" s="17">
        <f>IF(K29="","",IF(UPPER(K29)=UPPER('Race Results'!B8),10,IF(UPPER(K29)=UPPER('Race Results'!C8),6,IF(UPPER(K29)=UPPER('Race Results'!D8),4,IF(UPPER(K29)=UPPER('Race Results'!E8),3,IF(UPPER(K29)=UPPER('Race Results'!F8),2,IF(UPPER(K29)=UPPER('Race Results'!G8),1,0)))))))</f>
        <v>0</v>
      </c>
      <c r="M29" s="18">
        <f t="shared" si="0"/>
        <v>22</v>
      </c>
    </row>
    <row r="30" spans="1:13" ht="15.6" x14ac:dyDescent="0.3">
      <c r="A30" s="15">
        <v>27</v>
      </c>
      <c r="B30" s="16" t="s">
        <v>90</v>
      </c>
      <c r="C30" s="15" t="s">
        <v>101</v>
      </c>
      <c r="D30" s="17">
        <f>IF(C30="","",IF(UPPER(C30)=UPPER('Race Results'!B4),10,IF(UPPER(C30)=UPPER('Race Results'!C4),6,IF(UPPER(C30)=UPPER('Race Results'!D4),4,IF(UPPER(C30)=UPPER('Race Results'!E4),3,IF(UPPER(C30)=UPPER('Race Results'!F4),2,IF(UPPER(C30)=UPPER('Race Results'!G4),1,0)))))))</f>
        <v>6</v>
      </c>
      <c r="E30" s="15" t="s">
        <v>122</v>
      </c>
      <c r="F30" s="17">
        <f>IF(E30="","",IF(UPPER(E30)=UPPER('Race Results'!B5),10,IF(UPPER(E30)=UPPER('Race Results'!C5),6,IF(UPPER(E30)=UPPER('Race Results'!D5),4,IF(UPPER(E30)=UPPER('Race Results'!E5),3,IF(UPPER(E30)=UPPER('Race Results'!F5),2,IF(UPPER(E30)=UPPER('Race Results'!G5),1,0)))))))</f>
        <v>0</v>
      </c>
      <c r="G30" s="15" t="s">
        <v>139</v>
      </c>
      <c r="H30" s="17">
        <f>IF(G30="","",IF(UPPER(G30)=UPPER('Race Results'!B6),10,IF(UPPER(G30)=UPPER('Race Results'!C6),6,IF(UPPER(G30)=UPPER('Race Results'!D6),4,IF(UPPER(G30)=UPPER('Race Results'!E6),3,IF(UPPER(G30)=UPPER('Race Results'!F6),2,IF(UPPER(G30)=UPPER('Race Results'!G6),1,0)))))))</f>
        <v>1</v>
      </c>
      <c r="I30" s="15" t="s">
        <v>155</v>
      </c>
      <c r="J30" s="17">
        <f>IF(I30="","",IF(UPPER(I30)=UPPER('Race Results'!B7),10,IF(UPPER(I30)=UPPER('Race Results'!C7),6,IF(UPPER(I30)=UPPER('Race Results'!D7),4,IF(UPPER(I30)=UPPER('Race Results'!E7),3,IF(UPPER(I30)=UPPER('Race Results'!F7),2,IF(UPPER(I30)=UPPER('Race Results'!G7),1,0)))))))</f>
        <v>0</v>
      </c>
      <c r="K30" s="15" t="s">
        <v>171</v>
      </c>
      <c r="L30" s="17">
        <f>IF(K30="","",IF(UPPER(K30)=UPPER('Race Results'!B8),10,IF(UPPER(K30)=UPPER('Race Results'!C8),6,IF(UPPER(K30)=UPPER('Race Results'!D8),4,IF(UPPER(K30)=UPPER('Race Results'!E8),3,IF(UPPER(K30)=UPPER('Race Results'!F8),2,IF(UPPER(K30)=UPPER('Race Results'!G8),1,0)))))))</f>
        <v>0</v>
      </c>
      <c r="M30" s="18">
        <f t="shared" si="0"/>
        <v>7</v>
      </c>
    </row>
    <row r="31" spans="1:13" ht="15.6" x14ac:dyDescent="0.3">
      <c r="A31" s="4">
        <v>28</v>
      </c>
      <c r="B31" s="5"/>
      <c r="C31" s="4"/>
      <c r="D31" s="17" t="str">
        <f>IF(C31="","",IF(UPPER(C31)=UPPER('Race Results'!B4),10,IF(UPPER(C31)=UPPER('Race Results'!C4),6,IF(UPPER(C31)=UPPER('Race Results'!D4),4,IF(UPPER(C31)=UPPER('Race Results'!E4),3,IF(UPPER(C31)=UPPER('Race Results'!F4),2,IF(UPPER(C31)=UPPER('Race Results'!G4),1,0)))))))</f>
        <v/>
      </c>
      <c r="E31" s="4"/>
      <c r="F31" s="17" t="str">
        <f>IF(E31="","",IF(UPPER(E31)=UPPER('Race Results'!B5),10,IF(UPPER(E31)=UPPER('Race Results'!C5),6,IF(UPPER(E31)=UPPER('Race Results'!D5),4,IF(UPPER(E31)=UPPER('Race Results'!E5),3,IF(UPPER(E31)=UPPER('Race Results'!F5),2,IF(UPPER(E31)=UPPER('Race Results'!G5),1,0)))))))</f>
        <v/>
      </c>
      <c r="G31" s="4"/>
      <c r="H31" s="17" t="str">
        <f>IF(G31="","",IF(UPPER(G31)=UPPER('Race Results'!B6),10,IF(UPPER(G31)=UPPER('Race Results'!C6),6,IF(UPPER(G31)=UPPER('Race Results'!D6),4,IF(UPPER(G31)=UPPER('Race Results'!E6),3,IF(UPPER(G31)=UPPER('Race Results'!F6),2,IF(UPPER(G31)=UPPER('Race Results'!G6),1,0)))))))</f>
        <v/>
      </c>
      <c r="I31" s="4"/>
      <c r="J31" s="17" t="str">
        <f>IF(I31="","",IF(UPPER(I31)=UPPER('Race Results'!B7),10,IF(UPPER(I31)=UPPER('Race Results'!C7),6,IF(UPPER(I31)=UPPER('Race Results'!D7),4,IF(UPPER(I31)=UPPER('Race Results'!E7),3,IF(UPPER(I31)=UPPER('Race Results'!F7),2,IF(UPPER(I31)=UPPER('Race Results'!G7),1,0)))))))</f>
        <v/>
      </c>
      <c r="K31" s="4"/>
      <c r="L31" s="17" t="str">
        <f>IF(K31="","",IF(UPPER(K31)=UPPER('Race Results'!B8),10,IF(UPPER(K31)=UPPER('Race Results'!C8),6,IF(UPPER(K31)=UPPER('Race Results'!D8),4,IF(UPPER(K31)=UPPER('Race Results'!E8),3,IF(UPPER(K31)=UPPER('Race Results'!F8),2,IF(UPPER(K31)=UPPER('Race Results'!G8),1,0)))))))</f>
        <v/>
      </c>
      <c r="M31" s="18">
        <f t="shared" si="0"/>
        <v>0</v>
      </c>
    </row>
    <row r="32" spans="1:13" ht="15.6" x14ac:dyDescent="0.3">
      <c r="A32" s="15">
        <v>29</v>
      </c>
      <c r="B32" s="16"/>
      <c r="C32" s="15"/>
      <c r="D32" s="17" t="str">
        <f>IF(C32="","",IF(UPPER(C32)=UPPER('Race Results'!B4),10,IF(UPPER(C32)=UPPER('Race Results'!C4),6,IF(UPPER(C32)=UPPER('Race Results'!D4),4,IF(UPPER(C32)=UPPER('Race Results'!E4),3,IF(UPPER(C32)=UPPER('Race Results'!F4),2,IF(UPPER(C32)=UPPER('Race Results'!G4),1,0)))))))</f>
        <v/>
      </c>
      <c r="E32" s="15"/>
      <c r="F32" s="17" t="str">
        <f>IF(E32="","",IF(UPPER(E32)=UPPER('Race Results'!B5),10,IF(UPPER(E32)=UPPER('Race Results'!C5),6,IF(UPPER(E32)=UPPER('Race Results'!D5),4,IF(UPPER(E32)=UPPER('Race Results'!E5),3,IF(UPPER(E32)=UPPER('Race Results'!F5),2,IF(UPPER(E32)=UPPER('Race Results'!G5),1,0)))))))</f>
        <v/>
      </c>
      <c r="G32" s="15"/>
      <c r="H32" s="17" t="str">
        <f>IF(G32="","",IF(UPPER(G32)=UPPER('Race Results'!B6),10,IF(UPPER(G32)=UPPER('Race Results'!C6),6,IF(UPPER(G32)=UPPER('Race Results'!D6),4,IF(UPPER(G32)=UPPER('Race Results'!E6),3,IF(UPPER(G32)=UPPER('Race Results'!F6),2,IF(UPPER(G32)=UPPER('Race Results'!G6),1,0)))))))</f>
        <v/>
      </c>
      <c r="I32" s="15"/>
      <c r="J32" s="17" t="str">
        <f>IF(I32="","",IF(UPPER(I32)=UPPER('Race Results'!B7),10,IF(UPPER(I32)=UPPER('Race Results'!C7),6,IF(UPPER(I32)=UPPER('Race Results'!D7),4,IF(UPPER(I32)=UPPER('Race Results'!E7),3,IF(UPPER(I32)=UPPER('Race Results'!F7),2,IF(UPPER(I32)=UPPER('Race Results'!G7),1,0)))))))</f>
        <v/>
      </c>
      <c r="K32" s="15"/>
      <c r="L32" s="17" t="str">
        <f>IF(K32="","",IF(UPPER(K32)=UPPER('Race Results'!B8),10,IF(UPPER(K32)=UPPER('Race Results'!C8),6,IF(UPPER(K32)=UPPER('Race Results'!D8),4,IF(UPPER(K32)=UPPER('Race Results'!E8),3,IF(UPPER(K32)=UPPER('Race Results'!F8),2,IF(UPPER(K32)=UPPER('Race Results'!G8),1,0)))))))</f>
        <v/>
      </c>
      <c r="M32" s="18">
        <f t="shared" si="0"/>
        <v>0</v>
      </c>
    </row>
    <row r="33" spans="1:13" ht="15.6" x14ac:dyDescent="0.3">
      <c r="A33" s="4">
        <v>30</v>
      </c>
      <c r="B33" s="5"/>
      <c r="C33" s="4"/>
      <c r="D33" s="17" t="str">
        <f>IF(C33="","",IF(UPPER(C33)=UPPER('Race Results'!B4),10,IF(UPPER(C33)=UPPER('Race Results'!C4),6,IF(UPPER(C33)=UPPER('Race Results'!D4),4,IF(UPPER(C33)=UPPER('Race Results'!E4),3,IF(UPPER(C33)=UPPER('Race Results'!F4),2,IF(UPPER(C33)=UPPER('Race Results'!G4),1,0)))))))</f>
        <v/>
      </c>
      <c r="E33" s="4"/>
      <c r="F33" s="17" t="str">
        <f>IF(E33="","",IF(UPPER(E33)=UPPER('Race Results'!B5),10,IF(UPPER(E33)=UPPER('Race Results'!C5),6,IF(UPPER(E33)=UPPER('Race Results'!D5),4,IF(UPPER(E33)=UPPER('Race Results'!E5),3,IF(UPPER(E33)=UPPER('Race Results'!F5),2,IF(UPPER(E33)=UPPER('Race Results'!G5),1,0)))))))</f>
        <v/>
      </c>
      <c r="G33" s="4"/>
      <c r="H33" s="17" t="str">
        <f>IF(G33="","",IF(UPPER(G33)=UPPER('Race Results'!B6),10,IF(UPPER(G33)=UPPER('Race Results'!C6),6,IF(UPPER(G33)=UPPER('Race Results'!D6),4,IF(UPPER(G33)=UPPER('Race Results'!E6),3,IF(UPPER(G33)=UPPER('Race Results'!F6),2,IF(UPPER(G33)=UPPER('Race Results'!G6),1,0)))))))</f>
        <v/>
      </c>
      <c r="I33" s="4"/>
      <c r="J33" s="17" t="str">
        <f>IF(I33="","",IF(UPPER(I33)=UPPER('Race Results'!B7),10,IF(UPPER(I33)=UPPER('Race Results'!C7),6,IF(UPPER(I33)=UPPER('Race Results'!D7),4,IF(UPPER(I33)=UPPER('Race Results'!E7),3,IF(UPPER(I33)=UPPER('Race Results'!F7),2,IF(UPPER(I33)=UPPER('Race Results'!G7),1,0)))))))</f>
        <v/>
      </c>
      <c r="K33" s="4"/>
      <c r="L33" s="17" t="str">
        <f>IF(K33="","",IF(UPPER(K33)=UPPER('Race Results'!B8),10,IF(UPPER(K33)=UPPER('Race Results'!C8),6,IF(UPPER(K33)=UPPER('Race Results'!D8),4,IF(UPPER(K33)=UPPER('Race Results'!E8),3,IF(UPPER(K33)=UPPER('Race Results'!F8),2,IF(UPPER(K33)=UPPER('Race Results'!G8),1,0)))))))</f>
        <v/>
      </c>
      <c r="M33" s="18">
        <f t="shared" si="0"/>
        <v>0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xWindow="752" yWindow="747" count="6">
        <x14:dataValidation type="list" allowBlank="1" showInputMessage="1" promptTitle="Guest Name" prompt="Start typing or pick from guest list" xr:uid="{00000000-0002-0000-0300-000000000000}">
          <x14:formula1>
            <xm:f>'Guest List'!$B$4:$B$53</xm:f>
          </x14:formula1>
          <x14:formula2>
            <xm:f>0</xm:f>
          </x14:formula2>
          <xm:sqref>B4:B33</xm:sqref>
        </x14:dataValidation>
        <x14:dataValidation type="list" allowBlank="1" showInputMessage="1" promptTitle="Norfolk Stakes" prompt="Select horse for Norfolk Stakes" xr:uid="{00000000-0002-0000-0300-000001000000}">
          <x14:formula1>
            <xm:f>'Race Card'!$B$4:$B$36</xm:f>
          </x14:formula1>
          <x14:formula2>
            <xm:f>0</xm:f>
          </x14:formula2>
          <xm:sqref>C4:C33</xm:sqref>
        </x14:dataValidation>
        <x14:dataValidation type="list" allowBlank="1" showInputMessage="1" promptTitle="King George V" prompt="Select horse for King George V" xr:uid="{00000000-0002-0000-0300-000002000000}">
          <x14:formula1>
            <xm:f>'Race Card'!$C$4:$C$36</xm:f>
          </x14:formula1>
          <x14:formula2>
            <xm:f>0</xm:f>
          </x14:formula2>
          <xm:sqref>E4:E33</xm:sqref>
        </x14:dataValidation>
        <x14:dataValidation type="list" allowBlank="1" showInputMessage="1" promptTitle="Ribblesdale Stakes" prompt="Select horse for Ribblesdale Stakes" xr:uid="{00000000-0002-0000-0300-000003000000}">
          <x14:formula1>
            <xm:f>'Race Card'!$D$4:$D$36</xm:f>
          </x14:formula1>
          <x14:formula2>
            <xm:f>0</xm:f>
          </x14:formula2>
          <xm:sqref>G4:G33</xm:sqref>
        </x14:dataValidation>
        <x14:dataValidation type="list" allowBlank="1" showInputMessage="1" promptTitle="Gold Cup" prompt="Select horse for Gold Cup" xr:uid="{00000000-0002-0000-0300-000004000000}">
          <x14:formula1>
            <xm:f>'Race Card'!$E$4:$E$36</xm:f>
          </x14:formula1>
          <x14:formula2>
            <xm:f>0</xm:f>
          </x14:formula2>
          <xm:sqref>I4:I33</xm:sqref>
        </x14:dataValidation>
        <x14:dataValidation type="list" allowBlank="1" showInputMessage="1" promptTitle="Britannia Stakes" prompt="Select horse for Britannia Stakes" xr:uid="{00000000-0002-0000-0300-000005000000}">
          <x14:formula1>
            <xm:f>'Race Card'!$F$4:$F$36</xm:f>
          </x14:formula1>
          <x14:formula2>
            <xm:f>0</xm:f>
          </x14:formula2>
          <xm:sqref>K4:K33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700"/>
  </sheetPr>
  <dimension ref="A1:D32"/>
  <sheetViews>
    <sheetView topLeftCell="A5" zoomScaleNormal="100" workbookViewId="0">
      <selection activeCell="B32" sqref="B32"/>
    </sheetView>
  </sheetViews>
  <sheetFormatPr defaultColWidth="8.6640625" defaultRowHeight="14.4" x14ac:dyDescent="0.3"/>
  <cols>
    <col min="1" max="1" width="8" customWidth="1"/>
    <col min="2" max="2" width="30" customWidth="1"/>
    <col min="3" max="3" width="16" customWidth="1"/>
    <col min="4" max="4" width="12" customWidth="1"/>
  </cols>
  <sheetData>
    <row r="1" spans="1:4" ht="23.1" customHeight="1" x14ac:dyDescent="0.3">
      <c r="A1" s="39" t="s">
        <v>24</v>
      </c>
      <c r="B1" s="39"/>
      <c r="C1" s="39"/>
      <c r="D1" s="39"/>
    </row>
    <row r="2" spans="1:4" x14ac:dyDescent="0.3">
      <c r="A2" s="12" t="s">
        <v>25</v>
      </c>
      <c r="B2" s="12" t="s">
        <v>26</v>
      </c>
      <c r="C2" s="12" t="s">
        <v>27</v>
      </c>
      <c r="D2" s="12" t="s">
        <v>28</v>
      </c>
    </row>
    <row r="3" spans="1:4" ht="18" x14ac:dyDescent="0.3">
      <c r="A3" s="19">
        <v>1</v>
      </c>
      <c r="B3" s="20" t="str">
        <f>IFERROR(INDEX('Picks &amp; Scores'!$B$4:$B$33,MATCH(LARGE('Picks &amp; Scores'!$M$4:$M$33,1),'Picks &amp; Scores'!$M$4:$M$33,0)),"")</f>
        <v>Emily Sardo</v>
      </c>
      <c r="C3" s="21">
        <f>IFERROR(LARGE('Picks &amp; Scores'!$M$4:$M$33,1),"")</f>
        <v>30</v>
      </c>
      <c r="D3" s="22">
        <f ca="1">IFERROR(COUNTIF(OFFSET('Picks &amp; Scores'!$D$4:$L$33,MATCH(C3,'Picks &amp; Scores'!$M$4:$M$33,0)-1,0,1,11),10),"")</f>
        <v>3</v>
      </c>
    </row>
    <row r="4" spans="1:4" ht="18" x14ac:dyDescent="0.3">
      <c r="A4" s="19">
        <v>2</v>
      </c>
      <c r="B4" s="20" t="str">
        <f>IFERROR(INDEX('Picks &amp; Scores'!$B$4:$B$33,MATCH(LARGE('Picks &amp; Scores'!$M$4:$M$33,2),'Picks &amp; Scores'!$M$4:$M$33,0)),"")</f>
        <v>Robb Topp</v>
      </c>
      <c r="C4" s="21">
        <f>IFERROR(LARGE('Picks &amp; Scores'!$M$4:$M$33,2),"")</f>
        <v>26</v>
      </c>
      <c r="D4" s="22">
        <f ca="1">IFERROR(COUNTIF(OFFSET('Picks &amp; Scores'!$D$4:$L$33,MATCH(C4,'Picks &amp; Scores'!$M$4:$M$33,0)-1,0,1,11),10),"")</f>
        <v>2</v>
      </c>
    </row>
    <row r="5" spans="1:4" ht="18" x14ac:dyDescent="0.3">
      <c r="A5" s="19">
        <v>3</v>
      </c>
      <c r="B5" s="20" t="str">
        <f>IFERROR(INDEX('Picks &amp; Scores'!$B$4:$B$33,MATCH(LARGE('Picks &amp; Scores'!$M$4:$M$33,3),'Picks &amp; Scores'!$M$4:$M$33,0)),"")</f>
        <v>Marianne Chardon</v>
      </c>
      <c r="C5" s="21">
        <f>IFERROR(LARGE('Picks &amp; Scores'!$M$4:$M$33,3),"")</f>
        <v>22</v>
      </c>
      <c r="D5" s="22">
        <f ca="1">IFERROR(COUNTIF(OFFSET('Picks &amp; Scores'!$D$4:$L$33,MATCH(C5,'Picks &amp; Scores'!$M$4:$M$33,0)-1,0,1,11),10),"")</f>
        <v>1</v>
      </c>
    </row>
    <row r="6" spans="1:4" ht="18" x14ac:dyDescent="0.3">
      <c r="A6" s="23">
        <v>4</v>
      </c>
      <c r="B6" s="24" t="str">
        <f>IFERROR(INDEX('Picks &amp; Scores'!$B$4:$B$33,MATCH(LARGE('Picks &amp; Scores'!$M$4:$M$33,4),'Picks &amp; Scores'!$M$4:$M$33,0)),"")</f>
        <v>Marianne Chardon</v>
      </c>
      <c r="C6" s="25">
        <f>IFERROR(LARGE('Picks &amp; Scores'!$M$4:$M$33,4),"")</f>
        <v>22</v>
      </c>
      <c r="D6" s="26">
        <f ca="1">IFERROR(COUNTIF(OFFSET('Picks &amp; Scores'!$D$4:$L$33,MATCH(C6,'Picks &amp; Scores'!$M$4:$M$33,0)-1,0,1,11),10),"")</f>
        <v>1</v>
      </c>
    </row>
    <row r="7" spans="1:4" ht="18" x14ac:dyDescent="0.3">
      <c r="A7" s="27">
        <v>5</v>
      </c>
      <c r="B7" s="28" t="str">
        <f>IFERROR(INDEX('Picks &amp; Scores'!$B$4:$B$33,MATCH(LARGE('Picks &amp; Scores'!$M$4:$M$33,5),'Picks &amp; Scores'!$M$4:$M$33,0)),"")</f>
        <v>Vahi Crowley</v>
      </c>
      <c r="C7" s="29">
        <f>IFERROR(LARGE('Picks &amp; Scores'!$M$4:$M$33,5),"")</f>
        <v>20</v>
      </c>
      <c r="D7" s="30">
        <f ca="1">IFERROR(COUNTIF(OFFSET('Picks &amp; Scores'!$D$4:$L$33,MATCH(C7,'Picks &amp; Scores'!$M$4:$M$33,0)-1,0,1,11),10),"")</f>
        <v>1</v>
      </c>
    </row>
    <row r="8" spans="1:4" ht="18" x14ac:dyDescent="0.3">
      <c r="A8" s="23">
        <v>6</v>
      </c>
      <c r="B8" s="24" t="str">
        <f>IFERROR(INDEX('Picks &amp; Scores'!$B$4:$B$33,MATCH(LARGE('Picks &amp; Scores'!$M$4:$M$33,6),'Picks &amp; Scores'!$M$4:$M$33,0)),"")</f>
        <v>Vahi Crowley</v>
      </c>
      <c r="C8" s="25">
        <f>IFERROR(LARGE('Picks &amp; Scores'!$M$4:$M$33,6),"")</f>
        <v>20</v>
      </c>
      <c r="D8" s="26">
        <f ca="1">IFERROR(COUNTIF(OFFSET('Picks &amp; Scores'!$D$4:$L$33,MATCH(C8,'Picks &amp; Scores'!$M$4:$M$33,0)-1,0,1,11),10),"")</f>
        <v>1</v>
      </c>
    </row>
    <row r="9" spans="1:4" ht="18" x14ac:dyDescent="0.3">
      <c r="A9" s="27">
        <v>7</v>
      </c>
      <c r="B9" s="28" t="str">
        <f>IFERROR(INDEX('Picks &amp; Scores'!$B$4:$B$33,MATCH(LARGE('Picks &amp; Scores'!$M$4:$M$33,7),'Picks &amp; Scores'!$M$4:$M$33,0)),"")</f>
        <v>Vahi Crowley</v>
      </c>
      <c r="C9" s="29">
        <f>IFERROR(LARGE('Picks &amp; Scores'!$M$4:$M$33,7),"")</f>
        <v>20</v>
      </c>
      <c r="D9" s="30">
        <f ca="1">IFERROR(COUNTIF(OFFSET('Picks &amp; Scores'!$D$4:$L$33,MATCH(C9,'Picks &amp; Scores'!$M$4:$M$33,0)-1,0,1,11),10),"")</f>
        <v>1</v>
      </c>
    </row>
    <row r="10" spans="1:4" ht="18" x14ac:dyDescent="0.3">
      <c r="A10" s="23">
        <v>8</v>
      </c>
      <c r="B10" s="24" t="str">
        <f>IFERROR(INDEX('Picks &amp; Scores'!$B$4:$B$33,MATCH(LARGE('Picks &amp; Scores'!$M$4:$M$33,8),'Picks &amp; Scores'!$M$4:$M$33,0)),"")</f>
        <v>Anthony Burke</v>
      </c>
      <c r="C10" s="25">
        <f>IFERROR(LARGE('Picks &amp; Scores'!$M$4:$M$33,8),"")</f>
        <v>19</v>
      </c>
      <c r="D10" s="26">
        <f ca="1">IFERROR(COUNTIF(OFFSET('Picks &amp; Scores'!$D$4:$L$33,MATCH(C10,'Picks &amp; Scores'!$M$4:$M$33,0)-1,0,1,11),10),"")</f>
        <v>1</v>
      </c>
    </row>
    <row r="11" spans="1:4" ht="18" x14ac:dyDescent="0.3">
      <c r="A11" s="27">
        <v>9</v>
      </c>
      <c r="B11" s="28" t="str">
        <f>IFERROR(INDEX('Picks &amp; Scores'!$B$4:$B$33,MATCH(LARGE('Picks &amp; Scores'!$M$4:$M$33,9),'Picks &amp; Scores'!$M$4:$M$33,0)),"")</f>
        <v>Bryan White</v>
      </c>
      <c r="C11" s="29">
        <f>IFERROR(LARGE('Picks &amp; Scores'!$M$4:$M$33,9),"")</f>
        <v>17</v>
      </c>
      <c r="D11" s="30">
        <f ca="1">IFERROR(COUNTIF(OFFSET('Picks &amp; Scores'!$D$4:$L$33,MATCH(C11,'Picks &amp; Scores'!$M$4:$M$33,0)-1,0,1,11),10),"")</f>
        <v>1</v>
      </c>
    </row>
    <row r="12" spans="1:4" ht="18" x14ac:dyDescent="0.3">
      <c r="A12" s="23">
        <v>10</v>
      </c>
      <c r="B12" s="24" t="str">
        <f>IFERROR(INDEX('Picks &amp; Scores'!$B$4:$B$33,MATCH(LARGE('Picks &amp; Scores'!$M$4:$M$33,10),'Picks &amp; Scores'!$M$4:$M$33,0)),"")</f>
        <v>Bryan White</v>
      </c>
      <c r="C12" s="25">
        <f>IFERROR(LARGE('Picks &amp; Scores'!$M$4:$M$33,10),"")</f>
        <v>17</v>
      </c>
      <c r="D12" s="26">
        <f ca="1">IFERROR(COUNTIF(OFFSET('Picks &amp; Scores'!$D$4:$L$33,MATCH(C12,'Picks &amp; Scores'!$M$4:$M$33,0)-1,0,1,11),10),"")</f>
        <v>1</v>
      </c>
    </row>
    <row r="13" spans="1:4" ht="18" x14ac:dyDescent="0.3">
      <c r="A13" s="27">
        <v>11</v>
      </c>
      <c r="B13" s="28" t="str">
        <f>IFERROR(INDEX('Picks &amp; Scores'!$B$4:$B$33,MATCH(LARGE('Picks &amp; Scores'!$M$4:$M$33,11),'Picks &amp; Scores'!$M$4:$M$33,0)),"")</f>
        <v>Stephen Hughes</v>
      </c>
      <c r="C13" s="29">
        <f>IFERROR(LARGE('Picks &amp; Scores'!$M$4:$M$33,11),"")</f>
        <v>16</v>
      </c>
      <c r="D13" s="30">
        <f ca="1">IFERROR(COUNTIF(OFFSET('Picks &amp; Scores'!$D$4:$L$33,MATCH(C13,'Picks &amp; Scores'!$M$4:$M$33,0)-1,0,1,11),10),"")</f>
        <v>1</v>
      </c>
    </row>
    <row r="14" spans="1:4" ht="18" x14ac:dyDescent="0.3">
      <c r="A14" s="23">
        <v>12</v>
      </c>
      <c r="B14" s="24" t="str">
        <f>IFERROR(INDEX('Picks &amp; Scores'!$B$4:$B$33,MATCH(LARGE('Picks &amp; Scores'!$M$4:$M$33,12),'Picks &amp; Scores'!$M$4:$M$33,0)),"")</f>
        <v>David Owens</v>
      </c>
      <c r="C14" s="25">
        <f>IFERROR(LARGE('Picks &amp; Scores'!$M$4:$M$33,12),"")</f>
        <v>14</v>
      </c>
      <c r="D14" s="26">
        <f ca="1">IFERROR(COUNTIF(OFFSET('Picks &amp; Scores'!$D$4:$L$33,MATCH(C14,'Picks &amp; Scores'!$M$4:$M$33,0)-1,0,1,11),10),"")</f>
        <v>1</v>
      </c>
    </row>
    <row r="15" spans="1:4" ht="18" x14ac:dyDescent="0.3">
      <c r="A15" s="27">
        <v>13</v>
      </c>
      <c r="B15" s="28" t="str">
        <f>IFERROR(INDEX('Picks &amp; Scores'!$B$4:$B$33,MATCH(LARGE('Picks &amp; Scores'!$M$4:$M$33,13),'Picks &amp; Scores'!$M$4:$M$33,0)),"")</f>
        <v>David Owens</v>
      </c>
      <c r="C15" s="29">
        <f>IFERROR(LARGE('Picks &amp; Scores'!$M$4:$M$33,13),"")</f>
        <v>14</v>
      </c>
      <c r="D15" s="30">
        <f ca="1">IFERROR(COUNTIF(OFFSET('Picks &amp; Scores'!$D$4:$L$33,MATCH(C15,'Picks &amp; Scores'!$M$4:$M$33,0)-1,0,1,11),10),"")</f>
        <v>1</v>
      </c>
    </row>
    <row r="16" spans="1:4" ht="18" x14ac:dyDescent="0.3">
      <c r="A16" s="23">
        <v>14</v>
      </c>
      <c r="B16" s="24" t="str">
        <f>IFERROR(INDEX('Picks &amp; Scores'!$B$4:$B$33,MATCH(LARGE('Picks &amp; Scores'!$M$4:$M$33,14),'Picks &amp; Scores'!$M$4:$M$33,0)),"")</f>
        <v>David Owens</v>
      </c>
      <c r="C16" s="25">
        <f>IFERROR(LARGE('Picks &amp; Scores'!$M$4:$M$33,14),"")</f>
        <v>14</v>
      </c>
      <c r="D16" s="26">
        <f ca="1">IFERROR(COUNTIF(OFFSET('Picks &amp; Scores'!$D$4:$L$33,MATCH(C16,'Picks &amp; Scores'!$M$4:$M$33,0)-1,0,1,11),10),"")</f>
        <v>1</v>
      </c>
    </row>
    <row r="17" spans="1:4" ht="18" x14ac:dyDescent="0.3">
      <c r="A17" s="27">
        <v>15</v>
      </c>
      <c r="B17" s="28" t="str">
        <f>IFERROR(INDEX('Picks &amp; Scores'!$B$4:$B$33,MATCH(LARGE('Picks &amp; Scores'!$M$4:$M$33,15),'Picks &amp; Scores'!$M$4:$M$33,0)),"")</f>
        <v>Sean Horan</v>
      </c>
      <c r="C17" s="29">
        <f>IFERROR(LARGE('Picks &amp; Scores'!$M$4:$M$33,15),"")</f>
        <v>13</v>
      </c>
      <c r="D17" s="30">
        <f ca="1">IFERROR(COUNTIF(OFFSET('Picks &amp; Scores'!$D$4:$L$33,MATCH(C17,'Picks &amp; Scores'!$M$4:$M$33,0)-1,0,1,11),10),"")</f>
        <v>1</v>
      </c>
    </row>
    <row r="18" spans="1:4" ht="18" x14ac:dyDescent="0.3">
      <c r="A18" s="23">
        <v>16</v>
      </c>
      <c r="B18" s="24" t="str">
        <f>IFERROR(INDEX('Picks &amp; Scores'!$B$4:$B$33,MATCH(LARGE('Picks &amp; Scores'!$M$4:$M$33,16),'Picks &amp; Scores'!$M$4:$M$33,0)),"")</f>
        <v>Darren Gill</v>
      </c>
      <c r="C18" s="25">
        <f>IFERROR(LARGE('Picks &amp; Scores'!$M$4:$M$33,16),"")</f>
        <v>12</v>
      </c>
      <c r="D18" s="26">
        <f ca="1">IFERROR(COUNTIF(OFFSET('Picks &amp; Scores'!$D$4:$L$33,MATCH(C18,'Picks &amp; Scores'!$M$4:$M$33,0)-1,0,1,11),10),"")</f>
        <v>0</v>
      </c>
    </row>
    <row r="19" spans="1:4" ht="18" x14ac:dyDescent="0.3">
      <c r="A19" s="27">
        <v>17</v>
      </c>
      <c r="B19" s="28" t="str">
        <f>IFERROR(INDEX('Picks &amp; Scores'!$B$4:$B$33,MATCH(LARGE('Picks &amp; Scores'!$M$4:$M$33,17),'Picks &amp; Scores'!$M$4:$M$33,0)),"")</f>
        <v>Jack Webb</v>
      </c>
      <c r="C19" s="29">
        <f>IFERROR(LARGE('Picks &amp; Scores'!$M$4:$M$33,17),"")</f>
        <v>10</v>
      </c>
      <c r="D19" s="30">
        <f ca="1">IFERROR(COUNTIF(OFFSET('Picks &amp; Scores'!$D$4:$L$33,MATCH(C19,'Picks &amp; Scores'!$M$4:$M$33,0)-1,0,1,11),10),"")</f>
        <v>2</v>
      </c>
    </row>
    <row r="20" spans="1:4" ht="18" x14ac:dyDescent="0.3">
      <c r="A20" s="23">
        <v>18</v>
      </c>
      <c r="B20" s="24" t="str">
        <f>IFERROR(INDEX('Picks &amp; Scores'!$B$4:$B$33,MATCH(LARGE('Picks &amp; Scores'!$M$4:$M$33,18),'Picks &amp; Scores'!$M$4:$M$33,0)),"")</f>
        <v>Ronan Keohane</v>
      </c>
      <c r="C20" s="25">
        <f>IFERROR(LARGE('Picks &amp; Scores'!$M$4:$M$33,18),"")</f>
        <v>8</v>
      </c>
      <c r="D20" s="26">
        <f ca="1">IFERROR(COUNTIF(OFFSET('Picks &amp; Scores'!$D$4:$L$33,MATCH(C20,'Picks &amp; Scores'!$M$4:$M$33,0)-1,0,1,11),10),"")</f>
        <v>0</v>
      </c>
    </row>
    <row r="21" spans="1:4" ht="18" x14ac:dyDescent="0.3">
      <c r="A21" s="27">
        <v>19</v>
      </c>
      <c r="B21" s="28" t="str">
        <f>IFERROR(INDEX('Picks &amp; Scores'!$B$4:$B$33,MATCH(LARGE('Picks &amp; Scores'!$M$4:$M$33,19),'Picks &amp; Scores'!$M$4:$M$33,0)),"")</f>
        <v>Ronan Keohane</v>
      </c>
      <c r="C21" s="29">
        <f>IFERROR(LARGE('Picks &amp; Scores'!$M$4:$M$33,19),"")</f>
        <v>8</v>
      </c>
      <c r="D21" s="30">
        <f ca="1">IFERROR(COUNTIF(OFFSET('Picks &amp; Scores'!$D$4:$L$33,MATCH(C21,'Picks &amp; Scores'!$M$4:$M$33,0)-1,0,1,11),10),"")</f>
        <v>0</v>
      </c>
    </row>
    <row r="22" spans="1:4" ht="18" x14ac:dyDescent="0.3">
      <c r="A22" s="23">
        <v>20</v>
      </c>
      <c r="B22" s="24" t="str">
        <f>IFERROR(INDEX('Picks &amp; Scores'!$B$4:$B$33,MATCH(LARGE('Picks &amp; Scores'!$M$4:$M$33,20),'Picks &amp; Scores'!$M$4:$M$33,0)),"")</f>
        <v>Lynn Forsyth</v>
      </c>
      <c r="C22" s="25">
        <f>IFERROR(LARGE('Picks &amp; Scores'!$M$4:$M$33,20),"")</f>
        <v>7</v>
      </c>
      <c r="D22" s="26">
        <f ca="1">IFERROR(COUNTIF(OFFSET('Picks &amp; Scores'!$D$4:$L$33,MATCH(C22,'Picks &amp; Scores'!$M$4:$M$33,0)-1,0,1,11),10),"")</f>
        <v>0</v>
      </c>
    </row>
    <row r="23" spans="1:4" ht="18" x14ac:dyDescent="0.3">
      <c r="A23" s="27">
        <v>21</v>
      </c>
      <c r="B23" s="28" t="str">
        <f>IFERROR(INDEX('Picks &amp; Scores'!$B$4:$B$33,MATCH(LARGE('Picks &amp; Scores'!$M$4:$M$33,21),'Picks &amp; Scores'!$M$4:$M$33,0)),"")</f>
        <v>Lynn Forsyth</v>
      </c>
      <c r="C23" s="29">
        <f>IFERROR(LARGE('Picks &amp; Scores'!$M$4:$M$33,21),"")</f>
        <v>7</v>
      </c>
      <c r="D23" s="30">
        <f ca="1">IFERROR(COUNTIF(OFFSET('Picks &amp; Scores'!$D$4:$L$33,MATCH(C23,'Picks &amp; Scores'!$M$4:$M$33,0)-1,0,1,11),10),"")</f>
        <v>0</v>
      </c>
    </row>
    <row r="24" spans="1:4" ht="18" x14ac:dyDescent="0.3">
      <c r="A24" s="23">
        <v>22</v>
      </c>
      <c r="B24" s="24" t="str">
        <f>IFERROR(INDEX('Picks &amp; Scores'!$B$4:$B$33,MATCH(LARGE('Picks &amp; Scores'!$M$4:$M$33,22),'Picks &amp; Scores'!$M$4:$M$33,0)),"")</f>
        <v>Ryan Crowley</v>
      </c>
      <c r="C24" s="25">
        <f>IFERROR(LARGE('Picks &amp; Scores'!$M$4:$M$33,22),"")</f>
        <v>6</v>
      </c>
      <c r="D24" s="26">
        <f ca="1">IFERROR(COUNTIF(OFFSET('Picks &amp; Scores'!$D$4:$L$33,MATCH(C24,'Picks &amp; Scores'!$M$4:$M$33,0)-1,0,1,11),10),"")</f>
        <v>0</v>
      </c>
    </row>
    <row r="25" spans="1:4" ht="18" x14ac:dyDescent="0.3">
      <c r="A25" s="27">
        <v>23</v>
      </c>
      <c r="B25" s="28" t="str">
        <f>IFERROR(INDEX('Picks &amp; Scores'!$B$4:$B$33,MATCH(LARGE('Picks &amp; Scores'!$M$4:$M$33,23),'Picks &amp; Scores'!$M$4:$M$33,0)),"")</f>
        <v>Ryan Crowley</v>
      </c>
      <c r="C25" s="29">
        <f>IFERROR(LARGE('Picks &amp; Scores'!$M$4:$M$33,23),"")</f>
        <v>6</v>
      </c>
      <c r="D25" s="30">
        <f ca="1">IFERROR(COUNTIF(OFFSET('Picks &amp; Scores'!$D$4:$L$33,MATCH(C25,'Picks &amp; Scores'!$M$4:$M$33,0)-1,0,1,11),10),"")</f>
        <v>0</v>
      </c>
    </row>
    <row r="26" spans="1:4" ht="18" x14ac:dyDescent="0.3">
      <c r="A26" s="23">
        <v>24</v>
      </c>
      <c r="B26" s="24" t="str">
        <f>IFERROR(INDEX('Picks &amp; Scores'!$B$4:$B$33,MATCH(LARGE('Picks &amp; Scores'!$M$4:$M$33,24),'Picks &amp; Scores'!$M$4:$M$33,0)),"")</f>
        <v>Ryan Crowley</v>
      </c>
      <c r="C26" s="25">
        <f>IFERROR(LARGE('Picks &amp; Scores'!$M$4:$M$33,24),"")</f>
        <v>6</v>
      </c>
      <c r="D26" s="26">
        <f ca="1">IFERROR(COUNTIF(OFFSET('Picks &amp; Scores'!$D$4:$L$33,MATCH(C26,'Picks &amp; Scores'!$M$4:$M$33,0)-1,0,1,11),10),"")</f>
        <v>0</v>
      </c>
    </row>
    <row r="27" spans="1:4" ht="18" x14ac:dyDescent="0.3">
      <c r="A27" s="27">
        <v>25</v>
      </c>
      <c r="B27" s="28" t="str">
        <f>IFERROR(INDEX('Picks &amp; Scores'!$B$4:$B$33,MATCH(LARGE('Picks &amp; Scores'!$M$4:$M$33,25),'Picks &amp; Scores'!$M$4:$M$33,0)),"")</f>
        <v>Denise White</v>
      </c>
      <c r="C27" s="29">
        <f>IFERROR(LARGE('Picks &amp; Scores'!$M$4:$M$33,25),"")</f>
        <v>4</v>
      </c>
      <c r="D27" s="30">
        <f ca="1">IFERROR(COUNTIF(OFFSET('Picks &amp; Scores'!$D$4:$L$33,MATCH(C27,'Picks &amp; Scores'!$M$4:$M$33,0)-1,0,1,11),10),"")</f>
        <v>0</v>
      </c>
    </row>
    <row r="28" spans="1:4" ht="18" x14ac:dyDescent="0.3">
      <c r="A28" s="23">
        <v>26</v>
      </c>
      <c r="B28" s="24" t="str">
        <f>IFERROR(INDEX('Picks &amp; Scores'!$B$4:$B$33,MATCH(LARGE('Picks &amp; Scores'!$M$4:$M$33,26),'Picks &amp; Scores'!$M$4:$M$33,0)),"")</f>
        <v>Steve Hunt</v>
      </c>
      <c r="C28" s="25">
        <f>IFERROR(LARGE('Picks &amp; Scores'!$M$4:$M$33,26),"")</f>
        <v>3</v>
      </c>
      <c r="D28" s="26">
        <f ca="1">IFERROR(COUNTIF(OFFSET('Picks &amp; Scores'!$D$4:$L$33,MATCH(C28,'Picks &amp; Scores'!$M$4:$M$33,0)-1,0,1,11),10),"")</f>
        <v>0</v>
      </c>
    </row>
    <row r="29" spans="1:4" ht="18" x14ac:dyDescent="0.3">
      <c r="A29" s="27">
        <v>27</v>
      </c>
      <c r="B29" s="28" t="str">
        <f>IFERROR(INDEX('Picks &amp; Scores'!$B$4:$B$33,MATCH(LARGE('Picks &amp; Scores'!$M$4:$M$33,27),'Picks &amp; Scores'!$M$4:$M$33,0)),"")</f>
        <v>Liz Bugler</v>
      </c>
      <c r="C29" s="29">
        <f>IFERROR(LARGE('Picks &amp; Scores'!$M$4:$M$33,27),"")</f>
        <v>2</v>
      </c>
      <c r="D29" s="30">
        <f ca="1">IFERROR(COUNTIF(OFFSET('Picks &amp; Scores'!$D$4:$L$33,MATCH(C29,'Picks &amp; Scores'!$M$4:$M$33,0)-1,0,1,11),10),"")</f>
        <v>0</v>
      </c>
    </row>
    <row r="30" spans="1:4" ht="18" x14ac:dyDescent="0.3">
      <c r="A30" s="23">
        <v>28</v>
      </c>
      <c r="B30" s="24">
        <f>IFERROR(INDEX('Picks &amp; Scores'!$B$4:$B$33,MATCH(LARGE('Picks &amp; Scores'!$M$4:$M$33,28),'Picks &amp; Scores'!$M$4:$M$33,0)),"")</f>
        <v>0</v>
      </c>
      <c r="C30" s="25">
        <f>IFERROR(LARGE('Picks &amp; Scores'!$M$4:$M$33,28),"")</f>
        <v>0</v>
      </c>
      <c r="D30" s="26">
        <f ca="1">IFERROR(COUNTIF(OFFSET('Picks &amp; Scores'!$D$4:$L$33,MATCH(C30,'Picks &amp; Scores'!$M$4:$M$33,0)-1,0,1,11),10),"")</f>
        <v>0</v>
      </c>
    </row>
    <row r="31" spans="1:4" ht="18" x14ac:dyDescent="0.3">
      <c r="A31" s="27">
        <v>29</v>
      </c>
      <c r="B31" s="28">
        <f>IFERROR(INDEX('Picks &amp; Scores'!$B$4:$B$33,MATCH(LARGE('Picks &amp; Scores'!$M$4:$M$33,29),'Picks &amp; Scores'!$M$4:$M$33,0)),"")</f>
        <v>0</v>
      </c>
      <c r="C31" s="29">
        <f>IFERROR(LARGE('Picks &amp; Scores'!$M$4:$M$33,29),"")</f>
        <v>0</v>
      </c>
      <c r="D31" s="30">
        <f ca="1">IFERROR(COUNTIF(OFFSET('Picks &amp; Scores'!$D$4:$L$33,MATCH(C31,'Picks &amp; Scores'!$M$4:$M$33,0)-1,0,1,11),10),"")</f>
        <v>0</v>
      </c>
    </row>
    <row r="32" spans="1:4" ht="18" x14ac:dyDescent="0.3">
      <c r="A32" s="23">
        <v>30</v>
      </c>
      <c r="B32" s="24">
        <f>IFERROR(INDEX('Picks &amp; Scores'!$B$4:$B$33,MATCH(LARGE('Picks &amp; Scores'!$M$4:$M$33,30),'Picks &amp; Scores'!$M$4:$M$33,0)),"")</f>
        <v>0</v>
      </c>
      <c r="C32" s="25">
        <f>IFERROR(LARGE('Picks &amp; Scores'!$M$4:$M$33,30),"")</f>
        <v>0</v>
      </c>
      <c r="D32" s="26">
        <f ca="1">IFERROR(COUNTIF(OFFSET('Picks &amp; Scores'!$D$4:$L$33,MATCH(C32,'Picks &amp; Scores'!$M$4:$M$33,0)-1,0,1,11),10),"")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9999"/>
  </sheetPr>
  <dimension ref="A1:F41"/>
  <sheetViews>
    <sheetView zoomScaleNormal="100" workbookViewId="0">
      <selection activeCell="A20" sqref="A20"/>
    </sheetView>
  </sheetViews>
  <sheetFormatPr defaultColWidth="8.6640625" defaultRowHeight="14.4" x14ac:dyDescent="0.3"/>
  <cols>
    <col min="1" max="1" width="90" customWidth="1"/>
  </cols>
  <sheetData>
    <row r="1" spans="1:6" ht="20.100000000000001" customHeight="1" x14ac:dyDescent="0.3">
      <c r="A1" s="33" t="s">
        <v>29</v>
      </c>
      <c r="B1" s="33"/>
      <c r="C1" s="33"/>
      <c r="D1" s="33"/>
      <c r="E1" s="33"/>
      <c r="F1" s="33"/>
    </row>
    <row r="3" spans="1:6" ht="17.399999999999999" x14ac:dyDescent="0.35">
      <c r="A3" s="40" t="s">
        <v>30</v>
      </c>
      <c r="B3" s="40"/>
      <c r="C3" s="40"/>
      <c r="D3" s="40"/>
      <c r="E3" s="40"/>
      <c r="F3" s="40"/>
    </row>
    <row r="4" spans="1:6" x14ac:dyDescent="0.3">
      <c r="A4" s="31" t="s">
        <v>31</v>
      </c>
    </row>
    <row r="5" spans="1:6" x14ac:dyDescent="0.3">
      <c r="A5" s="31" t="s">
        <v>32</v>
      </c>
    </row>
    <row r="6" spans="1:6" x14ac:dyDescent="0.3">
      <c r="A6" s="31" t="s">
        <v>33</v>
      </c>
    </row>
    <row r="8" spans="1:6" ht="17.399999999999999" x14ac:dyDescent="0.35">
      <c r="A8" s="40" t="s">
        <v>34</v>
      </c>
      <c r="B8" s="40"/>
      <c r="C8" s="40"/>
      <c r="D8" s="40"/>
      <c r="E8" s="40"/>
      <c r="F8" s="40"/>
    </row>
    <row r="9" spans="1:6" x14ac:dyDescent="0.3">
      <c r="A9" s="31" t="s">
        <v>35</v>
      </c>
    </row>
    <row r="10" spans="1:6" x14ac:dyDescent="0.3">
      <c r="A10" s="31" t="s">
        <v>36</v>
      </c>
    </row>
    <row r="11" spans="1:6" x14ac:dyDescent="0.3">
      <c r="A11" s="31" t="s">
        <v>37</v>
      </c>
    </row>
    <row r="12" spans="1:6" x14ac:dyDescent="0.3">
      <c r="A12" s="31" t="s">
        <v>38</v>
      </c>
    </row>
    <row r="13" spans="1:6" x14ac:dyDescent="0.3">
      <c r="A13" s="31" t="s">
        <v>39</v>
      </c>
    </row>
    <row r="14" spans="1:6" x14ac:dyDescent="0.3">
      <c r="A14" s="31" t="s">
        <v>40</v>
      </c>
    </row>
    <row r="15" spans="1:6" x14ac:dyDescent="0.3">
      <c r="A15" s="31" t="s">
        <v>41</v>
      </c>
    </row>
    <row r="17" spans="1:6" ht="17.399999999999999" x14ac:dyDescent="0.35">
      <c r="A17" s="40" t="s">
        <v>42</v>
      </c>
      <c r="B17" s="40"/>
      <c r="C17" s="40"/>
      <c r="D17" s="40"/>
      <c r="E17" s="40"/>
      <c r="F17" s="40"/>
    </row>
    <row r="18" spans="1:6" x14ac:dyDescent="0.3">
      <c r="A18" s="31" t="s">
        <v>43</v>
      </c>
    </row>
    <row r="19" spans="1:6" x14ac:dyDescent="0.3">
      <c r="A19" s="31" t="s">
        <v>44</v>
      </c>
    </row>
    <row r="20" spans="1:6" x14ac:dyDescent="0.3">
      <c r="A20" s="31" t="s">
        <v>45</v>
      </c>
    </row>
    <row r="21" spans="1:6" x14ac:dyDescent="0.3">
      <c r="A21" s="31" t="s">
        <v>46</v>
      </c>
    </row>
    <row r="22" spans="1:6" x14ac:dyDescent="0.3">
      <c r="A22" s="31" t="s">
        <v>47</v>
      </c>
    </row>
    <row r="23" spans="1:6" x14ac:dyDescent="0.3">
      <c r="A23" s="31" t="s">
        <v>48</v>
      </c>
    </row>
    <row r="24" spans="1:6" x14ac:dyDescent="0.3">
      <c r="A24" s="31" t="s">
        <v>49</v>
      </c>
    </row>
    <row r="25" spans="1:6" x14ac:dyDescent="0.3">
      <c r="A25" s="31" t="s">
        <v>50</v>
      </c>
    </row>
    <row r="27" spans="1:6" ht="17.399999999999999" x14ac:dyDescent="0.35">
      <c r="A27" s="40" t="s">
        <v>51</v>
      </c>
      <c r="B27" s="40"/>
      <c r="C27" s="40"/>
      <c r="D27" s="40"/>
      <c r="E27" s="40"/>
      <c r="F27" s="40"/>
    </row>
    <row r="28" spans="1:6" x14ac:dyDescent="0.3">
      <c r="A28" s="31" t="s">
        <v>52</v>
      </c>
    </row>
    <row r="29" spans="1:6" x14ac:dyDescent="0.3">
      <c r="A29" s="31" t="s">
        <v>53</v>
      </c>
    </row>
    <row r="30" spans="1:6" x14ac:dyDescent="0.3">
      <c r="A30" s="31" t="s">
        <v>54</v>
      </c>
    </row>
    <row r="31" spans="1:6" x14ac:dyDescent="0.3">
      <c r="A31" s="31" t="s">
        <v>55</v>
      </c>
    </row>
    <row r="32" spans="1:6" x14ac:dyDescent="0.3">
      <c r="A32" s="31" t="s">
        <v>56</v>
      </c>
    </row>
    <row r="33" spans="1:1" x14ac:dyDescent="0.3">
      <c r="A33" s="31" t="s">
        <v>57</v>
      </c>
    </row>
    <row r="35" spans="1:1" x14ac:dyDescent="0.3">
      <c r="A35" s="31" t="s">
        <v>58</v>
      </c>
    </row>
    <row r="37" spans="1:1" ht="17.399999999999999" x14ac:dyDescent="0.35">
      <c r="A37" s="32" t="s">
        <v>59</v>
      </c>
    </row>
    <row r="38" spans="1:1" x14ac:dyDescent="0.3">
      <c r="A38" s="31" t="s">
        <v>60</v>
      </c>
    </row>
    <row r="39" spans="1:1" x14ac:dyDescent="0.3">
      <c r="A39" s="31" t="s">
        <v>61</v>
      </c>
    </row>
    <row r="40" spans="1:1" x14ac:dyDescent="0.3">
      <c r="A40" s="31" t="s">
        <v>62</v>
      </c>
    </row>
    <row r="41" spans="1:1" x14ac:dyDescent="0.3">
      <c r="A41" s="31" t="s">
        <v>63</v>
      </c>
    </row>
  </sheetData>
  <mergeCells count="5">
    <mergeCell ref="A1:F1"/>
    <mergeCell ref="A3:F3"/>
    <mergeCell ref="A8:F8"/>
    <mergeCell ref="A17:F17"/>
    <mergeCell ref="A27:F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Guest List</vt:lpstr>
      <vt:lpstr>Race Card</vt:lpstr>
      <vt:lpstr>Race Results</vt:lpstr>
      <vt:lpstr>Picks &amp; Scores</vt:lpstr>
      <vt:lpstr>Leaderboard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Amye Dyrmishi</cp:lastModifiedBy>
  <cp:revision>0</cp:revision>
  <dcterms:created xsi:type="dcterms:W3CDTF">2026-05-28T10:26:54Z</dcterms:created>
  <dcterms:modified xsi:type="dcterms:W3CDTF">2026-06-17T15:48:56Z</dcterms:modified>
  <dc:language>en-US</dc:language>
</cp:coreProperties>
</file>