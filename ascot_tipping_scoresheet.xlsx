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400" documentId="13_ncr:1_{D69588C9-C99A-444E-8716-C3CC7EB9F9ED}" xr6:coauthVersionLast="47" xr6:coauthVersionMax="47" xr10:uidLastSave="{7B545749-5358-44F6-865E-BA55FE9338A6}"/>
  <bookViews>
    <workbookView xWindow="-108" yWindow="-108" windowWidth="23256" windowHeight="12456" tabRatio="500" firstSheet="1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<sst xmlns="http://schemas.openxmlformats.org/spreadsheetml/2006/main" count="210" uniqueCount="183">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</sst>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19" fillId="3" borderId="0" xfId="0" applyFont="1" applyFill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C25" sqref="C25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D14" sqref="D14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8" t="s">
        <v>7</v>
      </c>
      <c r="B2" s="38"/>
      <c r="C2" s="38"/>
      <c r="D2" s="38"/>
      <c r="E2" s="38"/>
      <c r="F2" s="38"/>
      <c r="G2" s="38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 t="s">
        <v>96</v>
      </c>
      <c r="C4" s="4"/>
      <c r="D4" s="4"/>
      <c r="E4" s="4"/>
      <c r="F4" s="4"/>
      <c r="G4" s="4"/>
    </row>
    <row r="5" spans="1:7" ht="30" customHeight="1" x14ac:dyDescent="0.3">
      <c r="A5" s="6" t="s">
        <v>92</v>
      </c>
      <c r="B5" s="4" t="s">
        <v>111</v>
      </c>
      <c r="C5" s="4"/>
      <c r="D5" s="4"/>
      <c r="E5" s="4"/>
      <c r="F5" s="4"/>
      <c r="G5" s="4"/>
    </row>
    <row r="6" spans="1:7" ht="30" customHeight="1" x14ac:dyDescent="0.3">
      <c r="A6" s="6" t="s">
        <v>93</v>
      </c>
      <c r="B6" s="4" t="s">
        <v>130</v>
      </c>
      <c r="C6" s="4"/>
      <c r="D6" s="4"/>
      <c r="E6" s="4"/>
      <c r="F6" s="4"/>
      <c r="G6" s="4"/>
    </row>
    <row r="7" spans="1:7" ht="30" customHeight="1" x14ac:dyDescent="0.3">
      <c r="A7" s="6" t="s">
        <v>94</v>
      </c>
      <c r="B7" s="4" t="s">
        <v>142</v>
      </c>
      <c r="C7" s="4" t="s">
        <v>143</v>
      </c>
      <c r="D7" s="4"/>
      <c r="E7" s="4"/>
      <c r="F7" s="4"/>
      <c r="G7" s="4"/>
    </row>
    <row r="8" spans="1:7" ht="30" customHeight="1" x14ac:dyDescent="0.3">
      <c r="A8" s="6" t="s">
        <v>95</v>
      </c>
      <c r="B8" s="4" t="s">
        <v>153</v>
      </c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9" t="s">
        <v>15</v>
      </c>
      <c r="B11" s="39"/>
      <c r="C11" s="39"/>
      <c r="D11" s="39"/>
      <c r="E11" s="39"/>
      <c r="F11" s="39"/>
      <c r="G11" s="39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17" activePane="bottomRight" state="frozen"/>
      <selection pane="topRight" activeCell="C1" sqref="C1"/>
      <selection pane="bottomLeft" activeCell="A4" sqref="A4"/>
      <selection pane="bottomRight" activeCell="G23" sqref="G23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8" t="s">
        <v>17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/>
      <c r="C4" s="15"/>
      <c r="D4" s="17" t="str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/>
      </c>
      <c r="E4" s="15"/>
      <c r="F4" s="17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 t="shared" ref="M4:M33" si="0">IF(COUNTA(D4,F4,H4,J4,L4)=0,"",SUM(D4,F4,H4,J4,L4))</f>
        <v>0</v>
      </c>
    </row>
    <row r="5" spans="1:13" ht="15.6" x14ac:dyDescent="0.3">
      <c r="A5" s="4">
        <v>2</v>
      </c>
      <c r="B5" s="5"/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/>
      <c r="F5" s="17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 t="shared" si="0"/>
        <v>0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 t="shared" si="0"/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 t="shared" si="0"/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 t="shared" si="0"/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 t="shared" si="0"/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 t="shared" si="0"/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 t="shared" si="0"/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 t="shared" si="0"/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 t="shared" si="0"/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 t="shared" si="0"/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 t="shared" si="0"/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 t="shared" si="0"/>
        <v>0</v>
      </c>
    </row>
    <row r="17" spans="1:13" ht="15.6" x14ac:dyDescent="0.3">
      <c r="A17" s="4">
        <v>14</v>
      </c>
      <c r="B17" s="5" t="s">
        <v>70</v>
      </c>
      <c r="C17" s="4" t="s">
        <v>96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10</v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 t="s">
        <v>130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10</v>
      </c>
      <c r="I17" s="4" t="s">
        <v>142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10</v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 t="shared" si="0"/>
        <v>30</v>
      </c>
    </row>
    <row r="18" spans="1:13" ht="15.6" x14ac:dyDescent="0.3">
      <c r="A18" s="15">
        <v>15</v>
      </c>
      <c r="B18" s="16" t="s">
        <v>79</v>
      </c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 t="s">
        <v>111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10</v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 t="s">
        <v>153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10</v>
      </c>
      <c r="M18" s="18">
        <f t="shared" si="0"/>
        <v>20</v>
      </c>
    </row>
    <row r="19" spans="1:13" ht="15.6" x14ac:dyDescent="0.3">
      <c r="A19" s="4">
        <v>16</v>
      </c>
      <c r="B19" s="5" t="s">
        <v>80</v>
      </c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 t="shared" si="0"/>
        <v>0</v>
      </c>
    </row>
    <row r="20" spans="1:13" ht="15.6" x14ac:dyDescent="0.3">
      <c r="A20" s="15">
        <v>17</v>
      </c>
      <c r="B20" s="16" t="s">
        <v>88</v>
      </c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 t="shared" si="0"/>
        <v>0</v>
      </c>
    </row>
    <row r="21" spans="1:13" ht="15.6" x14ac:dyDescent="0.3">
      <c r="A21" s="4">
        <v>18</v>
      </c>
      <c r="B21" s="16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 t="shared" si="0"/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 t="shared" si="0"/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 t="shared" si="0"/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 t="shared" si="0"/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 t="shared" si="0"/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 t="shared" si="0"/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 t="shared" si="0"/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 t="shared" si="0"/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40" t="s">
        <v>24</v>
      </c>
      <c r="B1" s="40"/>
      <c r="C1" s="40"/>
      <c r="D1" s="40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Ryan Crowley</v>
      </c>
      <c r="C3" s="21">
        <f>IFERROR(LARGE('Picks &amp; Scores'!$M$4:$M$33,1),"")</f>
        <v>30</v>
      </c>
      <c r="D3" s="22">
        <f ca="1">IFERROR(COUNTIF(OFFSET('Picks &amp; Scores'!$D$4:$L$33,MATCH(C3,'Picks &amp; Scores'!$M$4:$M$33,0)-1,0,1,11),10),"")</f>
        <v>3</v>
      </c>
    </row>
    <row r="4" spans="1:4" ht="18" x14ac:dyDescent="0.3">
      <c r="A4" s="19">
        <v>2</v>
      </c>
      <c r="B4" s="20" t="str">
        <f>IFERROR(INDEX('Picks &amp; Scores'!$B$4:$B$33,MATCH(LARGE('Picks &amp; Scores'!$M$4:$M$33,2),'Picks &amp; Scores'!$M$4:$M$33,0)),"")</f>
        <v>Emily Sardo</v>
      </c>
      <c r="C4" s="21">
        <f>IFERROR(LARGE('Picks &amp; Scores'!$M$4:$M$33,2),"")</f>
        <v>20</v>
      </c>
      <c r="D4" s="22">
        <f ca="1">IFERROR(COUNTIF(OFFSET('Picks &amp; Scores'!$D$4:$L$33,MATCH(C4,'Picks &amp; Scores'!$M$4:$M$33,0)-1,0,1,11),10),"")</f>
        <v>2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34" t="s">
        <v>30</v>
      </c>
      <c r="B3" s="34"/>
      <c r="C3" s="34"/>
      <c r="D3" s="34"/>
      <c r="E3" s="34"/>
      <c r="F3" s="34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34" t="s">
        <v>34</v>
      </c>
      <c r="B8" s="34"/>
      <c r="C8" s="34"/>
      <c r="D8" s="34"/>
      <c r="E8" s="34"/>
      <c r="F8" s="34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34" t="s">
        <v>42</v>
      </c>
      <c r="B17" s="34"/>
      <c r="C17" s="34"/>
      <c r="D17" s="34"/>
      <c r="E17" s="34"/>
      <c r="F17" s="34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34" t="s">
        <v>51</v>
      </c>
      <c r="B27" s="34"/>
      <c r="C27" s="34"/>
      <c r="D27" s="34"/>
      <c r="E27" s="34"/>
      <c r="F27" s="34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2026-06-18T09:44:17Z</dcterms:modified>
  <dc:language>en-US</dc:language>
</cp:coreProperties>
</file>