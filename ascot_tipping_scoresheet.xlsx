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99" documentId="13_ncr:1_{D69588C9-C99A-444E-8716-C3CC7EB9F9ED}" xr6:coauthVersionLast="47" xr6:coauthVersionMax="47" xr10:uidLastSave="{FA5D2BFC-29BD-49EE-9B37-10A9C69C3B45}"/>
  <bookViews>
    <workbookView xWindow="-108" yWindow="-108" windowWidth="23256" windowHeight="12456" tabRatio="500" firstSheet="1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<sst xmlns="http://schemas.openxmlformats.org/spreadsheetml/2006/main" count="379" uniqueCount="183">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</sst>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14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5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4" t="s">
        <v>0</v>
      </c>
      <c r="B1" s="34"/>
    </row>
    <row r="2" spans="1:2" x14ac:dyDescent="0.3">
      <c r="A2" s="35" t="s">
        <v>1</v>
      </c>
      <c r="B2" s="35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topLeftCell="A2"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6" t="s">
        <v>4</v>
      </c>
      <c r="B1" s="36"/>
      <c r="C1" s="36"/>
      <c r="D1" s="36"/>
      <c r="E1" s="36"/>
      <c r="F1" s="36"/>
    </row>
    <row r="2" spans="1:6" ht="30" customHeight="1" x14ac:dyDescent="0.3">
      <c r="A2" s="37" t="s">
        <v>5</v>
      </c>
      <c r="B2" s="37"/>
      <c r="C2" s="37"/>
      <c r="D2" s="37"/>
      <c r="E2" s="37"/>
      <c r="F2" s="37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G8" sqref="G8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6" t="s">
        <v>6</v>
      </c>
      <c r="B1" s="36"/>
      <c r="C1" s="36"/>
      <c r="D1" s="36"/>
      <c r="E1" s="36"/>
      <c r="F1" s="36"/>
      <c r="G1" s="36"/>
    </row>
    <row r="2" spans="1:7" ht="15" customHeight="1" x14ac:dyDescent="0.3">
      <c r="A2" s="38" t="s">
        <v>7</v>
      </c>
      <c r="B2" s="38"/>
      <c r="C2" s="38"/>
      <c r="D2" s="38"/>
      <c r="E2" s="38"/>
      <c r="F2" s="38"/>
      <c r="G2" s="38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 t="s">
        <v>120</v>
      </c>
      <c r="C5" s="4" t="s">
        <v>115</v>
      </c>
      <c r="D5" s="4" t="s">
        <v>121</v>
      </c>
      <c r="E5" s="4" t="s">
        <v>127</v>
      </c>
      <c r="F5" s="4" t="s">
        <v>126</v>
      </c>
      <c r="G5" s="4" t="s">
        <v>128</v>
      </c>
    </row>
    <row r="6" spans="1:7" ht="30" customHeight="1" x14ac:dyDescent="0.3">
      <c r="A6" s="6" t="s">
        <v>93</v>
      </c>
      <c r="B6" s="4" t="s">
        <v>133</v>
      </c>
      <c r="C6" s="4" t="s">
        <v>136</v>
      </c>
      <c r="D6" s="4" t="s">
        <v>134</v>
      </c>
      <c r="E6" s="4" t="s">
        <v>130</v>
      </c>
      <c r="F6" s="4" t="s">
        <v>131</v>
      </c>
      <c r="G6" s="4" t="s">
        <v>141</v>
      </c>
    </row>
    <row r="7" spans="1:7" ht="30" customHeight="1" x14ac:dyDescent="0.3">
      <c r="A7" s="6" t="s">
        <v>94</v>
      </c>
      <c r="B7" s="4" t="s">
        <v>151</v>
      </c>
      <c r="C7" s="4" t="s">
        <v>147</v>
      </c>
      <c r="D7" s="4" t="s">
        <v>146</v>
      </c>
      <c r="E7" s="4" t="s">
        <v>143</v>
      </c>
      <c r="F7" s="4" t="s">
        <v>152</v>
      </c>
      <c r="G7" s="4" t="s">
        <v>148</v>
      </c>
    </row>
    <row r="8" spans="1:7" ht="30" customHeight="1" x14ac:dyDescent="0.3">
      <c r="A8" s="6" t="s">
        <v>95</v>
      </c>
      <c r="B8" s="4" t="s">
        <v>178</v>
      </c>
      <c r="C8" s="4" t="s">
        <v>171</v>
      </c>
      <c r="D8" s="4" t="s">
        <v>180</v>
      </c>
      <c r="E8" s="4" t="s">
        <v>179</v>
      </c>
      <c r="F8" s="4" t="s">
        <v>173</v>
      </c>
      <c r="G8" s="4" t="s">
        <v>177</v>
      </c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9" t="s">
        <v>15</v>
      </c>
      <c r="B11" s="39"/>
      <c r="C11" s="39"/>
      <c r="D11" s="39"/>
      <c r="E11" s="39"/>
      <c r="F11" s="39"/>
      <c r="G11" s="39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zoomScaleNormal="100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I30" sqref="I30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6" t="s">
        <v>16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3" ht="15" customHeight="1" x14ac:dyDescent="0.3">
      <c r="A2" s="38" t="s">
        <v>17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4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4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2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1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10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17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10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4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6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20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3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10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13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10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3</v>
      </c>
      <c r="M8" s="18">
        <f t="shared" si="0"/>
        <v>15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6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3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10</v>
      </c>
      <c r="M9" s="18">
        <f t="shared" si="0"/>
        <v>25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v>3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4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7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10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10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2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3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14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3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6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9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10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6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16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3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4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13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3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10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13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v>3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2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10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15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2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10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12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4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6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13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3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3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10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10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2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4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10</v>
      </c>
      <c r="M23" s="18">
        <f t="shared" si="0"/>
        <v>16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2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10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12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10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10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4</v>
      </c>
      <c r="M25" s="18">
        <f t="shared" si="0"/>
        <v>34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4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4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8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6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7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10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10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10</v>
      </c>
      <c r="M28" s="18">
        <f t="shared" si="0"/>
        <v>30</v>
      </c>
    </row>
    <row r="29" spans="1:13" ht="27.6" x14ac:dyDescent="0.3">
      <c r="A29" s="15">
        <v>27</v>
      </c>
      <c r="B29" s="16" t="s">
        <v>67</v>
      </c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 t="s">
        <v>136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6</v>
      </c>
      <c r="I29" s="15" t="s">
        <v>143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3</v>
      </c>
      <c r="K29" s="15" t="s">
        <v>158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9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F7" sqref="F7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3" t="s">
        <v>24</v>
      </c>
      <c r="B1" s="33"/>
      <c r="C1" s="33"/>
      <c r="D1" s="33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34</v>
      </c>
      <c r="D3" s="22">
        <f ca="1">IFERROR(COUNTIF(OFFSET('Picks &amp; Scores'!$D$4:$L$32,MATCH(C3,'Picks &amp; Scores'!$M$4:$M$32,0)-1,0,1,11),10),"")</f>
        <v>3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Bryan White</v>
      </c>
      <c r="C4" s="21">
        <f>IFERROR(LARGE('Picks &amp; Scores'!$M$4:$M$32,2),"")</f>
        <v>30</v>
      </c>
      <c r="D4" s="22">
        <f ca="1">IFERROR(COUNTIF(OFFSET('Picks &amp; Scores'!$D$4:$L$32,MATCH(C4,'Picks &amp; Scores'!$M$4:$M$32,0)-1,0,1,11),10),"")</f>
        <v>3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Steve Burfitt</v>
      </c>
      <c r="C5" s="21">
        <f>IFERROR(LARGE('Picks &amp; Scores'!$M$4:$M$32,3),"")</f>
        <v>25</v>
      </c>
      <c r="D5" s="22">
        <f ca="1">IFERROR(COUNTIF(OFFSET('Picks &amp; Scores'!$D$4:$L$32,MATCH(C5,'Picks &amp; Scores'!$M$4:$M$32,0)-1,0,1,11),10),"")</f>
        <v>1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Robb Topp</v>
      </c>
      <c r="C6" s="25">
        <f>IFERROR(LARGE('Picks &amp; Scores'!$M$4:$M$32,4),"")</f>
        <v>20</v>
      </c>
      <c r="D6" s="26">
        <f ca="1">IFERROR(COUNTIF(OFFSET('Picks &amp; Scores'!$D$4:$L$32,MATCH(C6,'Picks &amp; Scores'!$M$4:$M$32,0)-1,0,1,11),10),"")</f>
        <v>1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Marianne Chardon</v>
      </c>
      <c r="C7" s="29">
        <f>IFERROR(LARGE('Picks &amp; Scores'!$M$4:$M$32,5),"")</f>
        <v>17</v>
      </c>
      <c r="D7" s="30">
        <f ca="1">IFERROR(COUNTIF(OFFSET('Picks &amp; Scores'!$D$4:$L$32,MATCH(C7,'Picks &amp; Scores'!$M$4:$M$32,0)-1,0,1,11),10),"")</f>
        <v>1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Sean Horan</v>
      </c>
      <c r="C8" s="25">
        <f>IFERROR(LARGE('Picks &amp; Scores'!$M$4:$M$32,6),"")</f>
        <v>16</v>
      </c>
      <c r="D8" s="26">
        <f ca="1">IFERROR(COUNTIF(OFFSET('Picks &amp; Scores'!$D$4:$L$32,MATCH(C8,'Picks &amp; Scores'!$M$4:$M$32,0)-1,0,1,11),10),"")</f>
        <v>1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Sean Horan</v>
      </c>
      <c r="C9" s="29">
        <f>IFERROR(LARGE('Picks &amp; Scores'!$M$4:$M$32,7),"")</f>
        <v>16</v>
      </c>
      <c r="D9" s="30">
        <f ca="1">IFERROR(COUNTIF(OFFSET('Picks &amp; Scores'!$D$4:$L$32,MATCH(C9,'Picks &amp; Scores'!$M$4:$M$32,0)-1,0,1,11),10),"")</f>
        <v>1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Gemma Forsyth</v>
      </c>
      <c r="C10" s="25">
        <f>IFERROR(LARGE('Picks &amp; Scores'!$M$4:$M$32,8),"")</f>
        <v>15</v>
      </c>
      <c r="D10" s="26">
        <f ca="1">IFERROR(COUNTIF(OFFSET('Picks &amp; Scores'!$D$4:$L$32,MATCH(C10,'Picks &amp; Scores'!$M$4:$M$32,0)-1,0,1,11),10),"")</f>
        <v>1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Gemma Forsyth</v>
      </c>
      <c r="C11" s="29">
        <f>IFERROR(LARGE('Picks &amp; Scores'!$M$4:$M$32,9),"")</f>
        <v>15</v>
      </c>
      <c r="D11" s="30">
        <f ca="1">IFERROR(COUNTIF(OFFSET('Picks &amp; Scores'!$D$4:$L$32,MATCH(C11,'Picks &amp; Scores'!$M$4:$M$32,0)-1,0,1,11),10),"")</f>
        <v>1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Jack Webb</v>
      </c>
      <c r="C12" s="25">
        <f>IFERROR(LARGE('Picks &amp; Scores'!$M$4:$M$32,10),"")</f>
        <v>14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Peter Goode</v>
      </c>
      <c r="C13" s="29">
        <f>IFERROR(LARGE('Picks &amp; Scores'!$M$4:$M$32,11),"")</f>
        <v>13</v>
      </c>
      <c r="D13" s="30">
        <f ca="1">IFERROR(COUNTIF(OFFSET('Picks &amp; Scores'!$D$4:$L$32,MATCH(C13,'Picks &amp; Scores'!$M$4:$M$32,0)-1,0,1,11),10),"")</f>
        <v>1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Peter Goode</v>
      </c>
      <c r="C14" s="25">
        <f>IFERROR(LARGE('Picks &amp; Scores'!$M$4:$M$32,12),"")</f>
        <v>13</v>
      </c>
      <c r="D14" s="26">
        <f ca="1">IFERROR(COUNTIF(OFFSET('Picks &amp; Scores'!$D$4:$L$32,MATCH(C14,'Picks &amp; Scores'!$M$4:$M$32,0)-1,0,1,11),10),"")</f>
        <v>1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Peter Goode</v>
      </c>
      <c r="C15" s="29">
        <f>IFERROR(LARGE('Picks &amp; Scores'!$M$4:$M$32,13),"")</f>
        <v>13</v>
      </c>
      <c r="D15" s="30">
        <f ca="1">IFERROR(COUNTIF(OFFSET('Picks &amp; Scores'!$D$4:$L$32,MATCH(C15,'Picks &amp; Scores'!$M$4:$M$32,0)-1,0,1,11),10),"")</f>
        <v>1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Peter Goode</v>
      </c>
      <c r="C16" s="25">
        <f>IFERROR(LARGE('Picks &amp; Scores'!$M$4:$M$32,14),"")</f>
        <v>13</v>
      </c>
      <c r="D16" s="26">
        <f ca="1">IFERROR(COUNTIF(OFFSET('Picks &amp; Scores'!$D$4:$L$32,MATCH(C16,'Picks &amp; Scores'!$M$4:$M$32,0)-1,0,1,11),10),"")</f>
        <v>1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Jamie Jordan</v>
      </c>
      <c r="C17" s="29">
        <f>IFERROR(LARGE('Picks &amp; Scores'!$M$4:$M$32,15),"")</f>
        <v>12</v>
      </c>
      <c r="D17" s="30">
        <f ca="1">IFERROR(COUNTIF(OFFSET('Picks &amp; Scores'!$D$4:$L$32,MATCH(C17,'Picks &amp; Scores'!$M$4:$M$32,0)-1,0,1,11),10),"")</f>
        <v>1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Jamie Jordan</v>
      </c>
      <c r="C18" s="25">
        <f>IFERROR(LARGE('Picks &amp; Scores'!$M$4:$M$32,16),"")</f>
        <v>12</v>
      </c>
      <c r="D18" s="26">
        <f ca="1">IFERROR(COUNTIF(OFFSET('Picks &amp; Scores'!$D$4:$L$32,MATCH(C18,'Picks &amp; Scores'!$M$4:$M$32,0)-1,0,1,11),10),"")</f>
        <v>1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Vahi Crowley</v>
      </c>
      <c r="C19" s="29">
        <f>IFERROR(LARGE('Picks &amp; Scores'!$M$4:$M$32,17),"")</f>
        <v>10</v>
      </c>
      <c r="D19" s="30">
        <f ca="1">IFERROR(COUNTIF(OFFSET('Picks &amp; Scores'!$D$4:$L$32,MATCH(C19,'Picks &amp; Scores'!$M$4:$M$32,0)-1,0,1,11),10),"")</f>
        <v>2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Vahi Crowley</v>
      </c>
      <c r="C20" s="25">
        <f>IFERROR(LARGE('Picks &amp; Scores'!$M$4:$M$32,18),"")</f>
        <v>10</v>
      </c>
      <c r="D20" s="26">
        <f ca="1">IFERROR(COUNTIF(OFFSET('Picks &amp; Scores'!$D$4:$L$32,MATCH(C20,'Picks &amp; Scores'!$M$4:$M$32,0)-1,0,1,11),10),"")</f>
        <v>2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David Owens</v>
      </c>
      <c r="C21" s="29">
        <f>IFERROR(LARGE('Picks &amp; Scores'!$M$4:$M$32,19),"")</f>
        <v>9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David Owens</v>
      </c>
      <c r="C22" s="25">
        <f>IFERROR(LARGE('Picks &amp; Scores'!$M$4:$M$32,20),"")</f>
        <v>9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Jade Dally</v>
      </c>
      <c r="C23" s="29">
        <f>IFERROR(LARGE('Picks &amp; Scores'!$M$4:$M$32,21),"")</f>
        <v>8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Mick Hogg</v>
      </c>
      <c r="C24" s="25">
        <f>IFERROR(LARGE('Picks &amp; Scores'!$M$4:$M$32,22),"")</f>
        <v>7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Mick Hogg</v>
      </c>
      <c r="C25" s="29">
        <f>IFERROR(LARGE('Picks &amp; Scores'!$M$4:$M$32,23),"")</f>
        <v>7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4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Emily Sardo</v>
      </c>
      <c r="C27" s="29">
        <f>IFERROR(LARGE('Picks &amp; Scores'!$M$4:$M$32,25),"")</f>
        <v>3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Emily Sardo</v>
      </c>
      <c r="C28" s="25">
        <f>IFERROR(LARGE('Picks &amp; Scores'!$M$4:$M$32,26),"")</f>
        <v>3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>
        <f>IFERROR(INDEX('Picks &amp; Scores'!$B$4:$B$32,MATCH(LARGE('Picks &amp; Scores'!$M$4:$M$32,27),'Picks &amp; Scores'!$M$4:$M$32,0)),"")</f>
        <v>0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>
        <f>IFERROR(INDEX('Picks &amp; Scores'!$B$4:$B$32,MATCH(LARGE('Picks &amp; Scores'!$M$4:$M$32,28),'Picks &amp; Scores'!$M$4:$M$32,0)),"")</f>
        <v>0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>
        <f>IFERROR(INDEX('Picks &amp; Scores'!$B$4:$B$32,MATCH(LARGE('Picks &amp; Scores'!$M$4:$M$32,29),'Picks &amp; Scores'!$M$4:$M$32,0)),"")</f>
        <v>0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6" t="s">
        <v>29</v>
      </c>
      <c r="B1" s="36"/>
      <c r="C1" s="36"/>
      <c r="D1" s="36"/>
      <c r="E1" s="36"/>
      <c r="F1" s="36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2026-06-18T16:13:18Z</dcterms:modified>
  <dc:language>en-US</dc:language>
</cp:coreProperties>
</file>