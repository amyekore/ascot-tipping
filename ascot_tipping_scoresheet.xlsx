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381" documentId="13_ncr:1_{D69588C9-C99A-444E-8716-C3CC7EB9F9ED}" xr6:coauthVersionLast="47" xr6:coauthVersionMax="47" xr10:uidLastSave="{41923381-1E13-455E-A6BA-A2C27A04891D}"/>
  <bookViews>
    <workbookView xWindow="-108" yWindow="-108" windowWidth="23256" windowHeight="12456" tabRatio="500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<sst xmlns="http://schemas.openxmlformats.org/spreadsheetml/2006/main" count="195" uniqueCount="183">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</sst>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tabSelected="1" zoomScaleNormal="100" workbookViewId="0">
      <selection activeCell="B7" sqref="B7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6" t="s">
        <v>0</v>
      </c>
      <c r="B1" s="36"/>
    </row>
    <row r="2" spans="1:2" x14ac:dyDescent="0.3">
      <c r="A2" s="37" t="s">
        <v>1</v>
      </c>
      <c r="B2" s="37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C25" sqref="C25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8" t="s">
        <v>5</v>
      </c>
      <c r="B2" s="38"/>
      <c r="C2" s="38"/>
      <c r="D2" s="38"/>
      <c r="E2" s="38"/>
      <c r="F2" s="38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E14" sqref="E14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/>
      <c r="C4" s="4"/>
      <c r="D4" s="4"/>
      <c r="E4" s="4"/>
      <c r="F4" s="4"/>
      <c r="G4" s="4"/>
    </row>
    <row r="5" spans="1:7" ht="30" customHeight="1" x14ac:dyDescent="0.3">
      <c r="A5" s="6" t="s">
        <v>92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93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94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95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5" t="s">
        <v>15</v>
      </c>
      <c r="B11" s="35"/>
      <c r="C11" s="35"/>
      <c r="D11" s="35"/>
      <c r="E11" s="35"/>
      <c r="F11" s="35"/>
      <c r="G11" s="35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zoomScaleNormal="100" workbookViewId="0">
      <pane xSplit="2" ySplit="3" topLeftCell="C17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/>
      <c r="C4" s="15"/>
      <c r="D4" s="17" t="str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/>
      </c>
      <c r="E4" s="15"/>
      <c r="F4" s="17" t="str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/>
      </c>
      <c r="G4" s="15"/>
      <c r="H4" s="17" t="str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/>
      </c>
      <c r="I4" s="15"/>
      <c r="J4" s="17" t="str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/>
      </c>
      <c r="K4" s="15"/>
      <c r="L4" s="17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18">
        <f t="shared" ref="M4:M33" si="0">IF(COUNTA(D4,F4,H4,J4,L4)=0,"",SUM(D4,F4,H4,J4,L4))</f>
        <v>0</v>
      </c>
    </row>
    <row r="5" spans="1:13" ht="15.6" x14ac:dyDescent="0.3">
      <c r="A5" s="4">
        <v>2</v>
      </c>
      <c r="B5" s="5"/>
      <c r="C5" s="4"/>
      <c r="D5" s="17" t="str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/>
      </c>
      <c r="E5" s="4"/>
      <c r="F5" s="17" t="str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/>
      </c>
      <c r="G5" s="4"/>
      <c r="H5" s="17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4"/>
      <c r="J5" s="17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4"/>
      <c r="L5" s="17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18">
        <f t="shared" si="0"/>
        <v>0</v>
      </c>
    </row>
    <row r="6" spans="1:13" ht="15.6" x14ac:dyDescent="0.3">
      <c r="A6" s="15">
        <v>3</v>
      </c>
      <c r="B6" s="16"/>
      <c r="C6" s="15"/>
      <c r="D6" s="17" t="str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/>
      </c>
      <c r="E6" s="15"/>
      <c r="F6" s="17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15"/>
      <c r="H6" s="17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15"/>
      <c r="J6" s="17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15"/>
      <c r="L6" s="17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18">
        <f t="shared" si="0"/>
        <v>0</v>
      </c>
    </row>
    <row r="7" spans="1:13" ht="15.6" x14ac:dyDescent="0.3">
      <c r="A7" s="4">
        <v>4</v>
      </c>
      <c r="B7" s="5"/>
      <c r="C7" s="4"/>
      <c r="D7" s="17" t="str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/>
      </c>
      <c r="E7" s="4"/>
      <c r="F7" s="17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4"/>
      <c r="H7" s="17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4"/>
      <c r="J7" s="17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4"/>
      <c r="L7" s="17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18">
        <f t="shared" si="0"/>
        <v>0</v>
      </c>
    </row>
    <row r="8" spans="1:13" ht="15.6" x14ac:dyDescent="0.3">
      <c r="A8" s="15">
        <v>5</v>
      </c>
      <c r="B8" s="16"/>
      <c r="C8" s="15"/>
      <c r="D8" s="17" t="str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/>
      </c>
      <c r="E8" s="15"/>
      <c r="F8" s="17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15"/>
      <c r="H8" s="17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15"/>
      <c r="J8" s="17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15"/>
      <c r="L8" s="17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18">
        <f t="shared" si="0"/>
        <v>0</v>
      </c>
    </row>
    <row r="9" spans="1:13" ht="15.6" x14ac:dyDescent="0.3">
      <c r="A9" s="4">
        <v>6</v>
      </c>
      <c r="B9" s="5"/>
      <c r="C9" s="4"/>
      <c r="D9" s="17" t="str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/>
      </c>
      <c r="E9" s="4"/>
      <c r="F9" s="17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4"/>
      <c r="H9" s="17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4"/>
      <c r="J9" s="17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4"/>
      <c r="L9" s="17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18">
        <f t="shared" si="0"/>
        <v>0</v>
      </c>
    </row>
    <row r="10" spans="1:13" ht="15.6" x14ac:dyDescent="0.3">
      <c r="A10" s="15">
        <v>7</v>
      </c>
      <c r="B10" s="16"/>
      <c r="C10" s="15"/>
      <c r="D10" s="17" t="str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/>
      </c>
      <c r="E10" s="15"/>
      <c r="F10" s="17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15"/>
      <c r="H10" s="17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15"/>
      <c r="J10" s="17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15"/>
      <c r="L10" s="17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18">
        <f t="shared" si="0"/>
        <v>0</v>
      </c>
    </row>
    <row r="11" spans="1:13" ht="15.6" x14ac:dyDescent="0.3">
      <c r="A11" s="4">
        <v>8</v>
      </c>
      <c r="B11" s="5"/>
      <c r="C11" s="4"/>
      <c r="D11" s="17" t="str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/>
      </c>
      <c r="E11" s="4"/>
      <c r="F11" s="17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4"/>
      <c r="H11" s="17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4"/>
      <c r="J11" s="17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4"/>
      <c r="L11" s="17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18">
        <f t="shared" si="0"/>
        <v>0</v>
      </c>
    </row>
    <row r="12" spans="1:13" ht="15.6" x14ac:dyDescent="0.3">
      <c r="A12" s="15">
        <v>9</v>
      </c>
      <c r="B12" s="16"/>
      <c r="C12" s="15"/>
      <c r="D12" s="17" t="str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/>
      </c>
      <c r="E12" s="15"/>
      <c r="F12" s="17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15"/>
      <c r="H12" s="17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15"/>
      <c r="J12" s="17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15"/>
      <c r="L12" s="17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18">
        <f t="shared" si="0"/>
        <v>0</v>
      </c>
    </row>
    <row r="13" spans="1:13" ht="15.6" x14ac:dyDescent="0.3">
      <c r="A13" s="4">
        <v>10</v>
      </c>
      <c r="B13" s="5"/>
      <c r="C13" s="4"/>
      <c r="D13" s="17" t="str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/>
      </c>
      <c r="E13" s="4"/>
      <c r="F13" s="17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4"/>
      <c r="H13" s="17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4"/>
      <c r="J13" s="17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4"/>
      <c r="L13" s="17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18">
        <f t="shared" si="0"/>
        <v>0</v>
      </c>
    </row>
    <row r="14" spans="1:13" ht="15.6" x14ac:dyDescent="0.3">
      <c r="A14" s="15">
        <v>11</v>
      </c>
      <c r="B14" s="16"/>
      <c r="C14" s="15"/>
      <c r="D14" s="17" t="str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/>
      </c>
      <c r="E14" s="15"/>
      <c r="F14" s="17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15"/>
      <c r="H14" s="17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15"/>
      <c r="J14" s="17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15"/>
      <c r="L14" s="17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18">
        <f t="shared" si="0"/>
        <v>0</v>
      </c>
    </row>
    <row r="15" spans="1:13" ht="15.6" x14ac:dyDescent="0.3">
      <c r="A15" s="4">
        <v>12</v>
      </c>
      <c r="B15" s="5"/>
      <c r="C15" s="4"/>
      <c r="D15" s="17" t="str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/>
      </c>
      <c r="E15" s="4"/>
      <c r="F15" s="17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4"/>
      <c r="H15" s="17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4"/>
      <c r="J15" s="17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4"/>
      <c r="L15" s="17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18">
        <f t="shared" si="0"/>
        <v>0</v>
      </c>
    </row>
    <row r="16" spans="1:13" ht="15.6" x14ac:dyDescent="0.3">
      <c r="A16" s="15">
        <v>13</v>
      </c>
      <c r="B16" s="16"/>
      <c r="C16" s="15"/>
      <c r="D16" s="17" t="str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/>
      </c>
      <c r="E16" s="15"/>
      <c r="F16" s="17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15"/>
      <c r="H16" s="17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15"/>
      <c r="J16" s="17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15"/>
      <c r="L16" s="17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18">
        <f t="shared" si="0"/>
        <v>0</v>
      </c>
    </row>
    <row r="17" spans="1:13" ht="15.6" x14ac:dyDescent="0.3">
      <c r="A17" s="4">
        <v>14</v>
      </c>
      <c r="B17" s="5"/>
      <c r="C17" s="4"/>
      <c r="D17" s="17" t="str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/>
      </c>
      <c r="E17" s="4"/>
      <c r="F17" s="17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4"/>
      <c r="H17" s="17" t="str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/>
      </c>
      <c r="I17" s="4"/>
      <c r="J17" s="17" t="str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/>
      </c>
      <c r="K17" s="4"/>
      <c r="L17" s="17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18">
        <f t="shared" si="0"/>
        <v>0</v>
      </c>
    </row>
    <row r="18" spans="1:13" ht="15.6" x14ac:dyDescent="0.3">
      <c r="A18" s="15">
        <v>15</v>
      </c>
      <c r="B18" s="16"/>
      <c r="C18" s="15"/>
      <c r="D18" s="17" t="str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/>
      </c>
      <c r="E18" s="15"/>
      <c r="F18" s="17" t="str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/>
      </c>
      <c r="G18" s="15"/>
      <c r="H18" s="17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15"/>
      <c r="J18" s="17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15"/>
      <c r="L18" s="17" t="str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/>
      </c>
      <c r="M18" s="18">
        <f t="shared" si="0"/>
        <v>0</v>
      </c>
    </row>
    <row r="19" spans="1:13" ht="15.6" x14ac:dyDescent="0.3">
      <c r="A19" s="4">
        <v>16</v>
      </c>
      <c r="B19" s="5"/>
      <c r="C19" s="4"/>
      <c r="D19" s="17" t="str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/>
      </c>
      <c r="E19" s="4"/>
      <c r="F19" s="17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4"/>
      <c r="H19" s="17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4"/>
      <c r="J19" s="17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4"/>
      <c r="L19" s="17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18">
        <f t="shared" si="0"/>
        <v>0</v>
      </c>
    </row>
    <row r="20" spans="1:13" ht="15.6" x14ac:dyDescent="0.3">
      <c r="A20" s="15">
        <v>17</v>
      </c>
      <c r="B20" s="16"/>
      <c r="C20" s="15"/>
      <c r="D20" s="17" t="str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/>
      </c>
      <c r="E20" s="15"/>
      <c r="F20" s="17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15"/>
      <c r="H20" s="17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15"/>
      <c r="J20" s="17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15"/>
      <c r="L20" s="17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18">
        <f t="shared" si="0"/>
        <v>0</v>
      </c>
    </row>
    <row r="21" spans="1:13" ht="15.6" x14ac:dyDescent="0.3">
      <c r="A21" s="4">
        <v>18</v>
      </c>
      <c r="B21" s="16"/>
      <c r="C21" s="4"/>
      <c r="D21" s="17" t="str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/>
      </c>
      <c r="E21" s="4"/>
      <c r="F21" s="17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4"/>
      <c r="H21" s="17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4"/>
      <c r="J21" s="17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4"/>
      <c r="L21" s="17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18">
        <f t="shared" si="0"/>
        <v>0</v>
      </c>
    </row>
    <row r="22" spans="1:13" ht="15.6" x14ac:dyDescent="0.3">
      <c r="A22" s="15">
        <v>19</v>
      </c>
      <c r="B22" s="16"/>
      <c r="C22" s="15"/>
      <c r="D22" s="17" t="str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/>
      </c>
      <c r="E22" s="15"/>
      <c r="F22" s="17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15"/>
      <c r="H22" s="17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15"/>
      <c r="J22" s="17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15"/>
      <c r="L22" s="17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18">
        <f t="shared" si="0"/>
        <v>0</v>
      </c>
    </row>
    <row r="23" spans="1:13" ht="15.6" x14ac:dyDescent="0.3">
      <c r="A23" s="4">
        <v>20</v>
      </c>
      <c r="B23" s="5"/>
      <c r="C23" s="4"/>
      <c r="D23" s="17" t="str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/>
      </c>
      <c r="E23" s="4"/>
      <c r="F23" s="17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4"/>
      <c r="H23" s="17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4"/>
      <c r="J23" s="17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4"/>
      <c r="L23" s="17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18">
        <f t="shared" si="0"/>
        <v>0</v>
      </c>
    </row>
    <row r="24" spans="1:13" ht="15.6" x14ac:dyDescent="0.3">
      <c r="A24" s="15">
        <v>21</v>
      </c>
      <c r="B24" s="16"/>
      <c r="C24" s="15"/>
      <c r="D24" s="17" t="str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/>
      </c>
      <c r="E24" s="15"/>
      <c r="F24" s="17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15"/>
      <c r="H24" s="17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15"/>
      <c r="J24" s="17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15"/>
      <c r="L24" s="17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18">
        <f t="shared" si="0"/>
        <v>0</v>
      </c>
    </row>
    <row r="25" spans="1:13" ht="15.6" x14ac:dyDescent="0.3">
      <c r="A25" s="4">
        <v>22</v>
      </c>
      <c r="B25" s="5"/>
      <c r="C25" s="4"/>
      <c r="D25" s="17" t="str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/>
      </c>
      <c r="E25" s="4"/>
      <c r="F25" s="17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4"/>
      <c r="H25" s="17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4"/>
      <c r="J25" s="17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4"/>
      <c r="L25" s="17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18">
        <f t="shared" si="0"/>
        <v>0</v>
      </c>
    </row>
    <row r="26" spans="1:13" ht="15.6" x14ac:dyDescent="0.3">
      <c r="A26" s="15">
        <v>23</v>
      </c>
      <c r="B26" s="16"/>
      <c r="C26" s="15"/>
      <c r="D26" s="17" t="str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/>
      </c>
      <c r="E26" s="15"/>
      <c r="F26" s="17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15"/>
      <c r="H26" s="17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15"/>
      <c r="J26" s="17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15"/>
      <c r="L26" s="17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18">
        <f t="shared" si="0"/>
        <v>0</v>
      </c>
    </row>
    <row r="27" spans="1:13" ht="15.6" x14ac:dyDescent="0.3">
      <c r="A27" s="4">
        <v>24</v>
      </c>
      <c r="B27" s="5"/>
      <c r="C27" s="4"/>
      <c r="D27" s="17" t="str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/>
      </c>
      <c r="E27" s="4"/>
      <c r="F27" s="17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4"/>
      <c r="H27" s="17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4"/>
      <c r="J27" s="17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4"/>
      <c r="L27" s="17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18">
        <f t="shared" si="0"/>
        <v>0</v>
      </c>
    </row>
    <row r="28" spans="1:13" ht="15.6" x14ac:dyDescent="0.3">
      <c r="A28" s="15">
        <v>25</v>
      </c>
      <c r="B28" s="16"/>
      <c r="C28" s="15"/>
      <c r="D28" s="17" t="str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/>
      </c>
      <c r="E28" s="15"/>
      <c r="F28" s="17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15"/>
      <c r="H28" s="17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15"/>
      <c r="J28" s="17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15"/>
      <c r="L28" s="17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18">
        <f t="shared" si="0"/>
        <v>0</v>
      </c>
    </row>
    <row r="29" spans="1:13" ht="15.6" x14ac:dyDescent="0.3">
      <c r="A29" s="4">
        <v>26</v>
      </c>
      <c r="B29" s="5"/>
      <c r="C29" s="4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4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4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4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4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15">
        <v>27</v>
      </c>
      <c r="B30" s="16"/>
      <c r="C30" s="15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15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15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15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15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B32" sqref="B32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>
        <f>IFERROR(INDEX('Picks &amp; Scores'!$B$4:$B$33,MATCH(LARGE('Picks &amp; Scores'!$M$4:$M$33,1),'Picks &amp; Scores'!$M$4:$M$33,0)),"")</f>
        <v>0</v>
      </c>
      <c r="C3" s="21">
        <f>IFERROR(LARGE('Picks &amp; Scores'!$M$4:$M$33,1),"")</f>
        <v>0</v>
      </c>
      <c r="D3" s="22">
        <f ca="1">IFERROR(COUNTIF(OFFSET('Picks &amp; Scores'!$D$4:$L$33,MATCH(C3,'Picks &amp; Scores'!$M$4:$M$33,0)-1,0,1,11),10),"")</f>
        <v>0</v>
      </c>
    </row>
    <row r="4" spans="1:4" ht="18" x14ac:dyDescent="0.3">
      <c r="A4" s="19">
        <v>2</v>
      </c>
      <c r="B4" s="20">
        <f>IFERROR(INDEX('Picks &amp; Scores'!$B$4:$B$33,MATCH(LARGE('Picks &amp; Scores'!$M$4:$M$33,2),'Picks &amp; Scores'!$M$4:$M$33,0)),"")</f>
        <v>0</v>
      </c>
      <c r="C4" s="21">
        <f>IFERROR(LARGE('Picks &amp; Scores'!$M$4:$M$33,2),"")</f>
        <v>0</v>
      </c>
      <c r="D4" s="22">
        <f ca="1">IFERROR(COUNTIF(OFFSET('Picks &amp; Scores'!$D$4:$L$33,MATCH(C4,'Picks &amp; Scores'!$M$4:$M$33,0)-1,0,1,11),10),"")</f>
        <v>0</v>
      </c>
    </row>
    <row r="5" spans="1:4" ht="18" x14ac:dyDescent="0.3">
      <c r="A5" s="19">
        <v>3</v>
      </c>
      <c r="B5" s="20">
        <f>IFERROR(INDEX('Picks &amp; Scores'!$B$4:$B$33,MATCH(LARGE('Picks &amp; Scores'!$M$4:$M$33,3),'Picks &amp; Scores'!$M$4:$M$33,0)),"")</f>
        <v>0</v>
      </c>
      <c r="C5" s="21">
        <f>IFERROR(LARGE('Picks &amp; Scores'!$M$4:$M$33,3),"")</f>
        <v>0</v>
      </c>
      <c r="D5" s="22">
        <f ca="1">IFERROR(COUNTIF(OFFSET('Picks &amp; Scores'!$D$4:$L$33,MATCH(C5,'Picks &amp; Scores'!$M$4:$M$33,0)-1,0,1,11),10),"")</f>
        <v>0</v>
      </c>
    </row>
    <row r="6" spans="1:4" ht="18" x14ac:dyDescent="0.3">
      <c r="A6" s="23">
        <v>4</v>
      </c>
      <c r="B6" s="24">
        <f>IFERROR(INDEX('Picks &amp; Scores'!$B$4:$B$33,MATCH(LARGE('Picks &amp; Scores'!$M$4:$M$33,4),'Picks &amp; Scores'!$M$4:$M$33,0)),"")</f>
        <v>0</v>
      </c>
      <c r="C6" s="25">
        <f>IFERROR(LARGE('Picks &amp; Scores'!$M$4:$M$33,4),"")</f>
        <v>0</v>
      </c>
      <c r="D6" s="26">
        <f ca="1">IFERROR(COUNTIF(OFFSET('Picks &amp; Scores'!$D$4:$L$33,MATCH(C6,'Picks &amp; Scores'!$M$4:$M$33,0)-1,0,1,11),10),"")</f>
        <v>0</v>
      </c>
    </row>
    <row r="7" spans="1:4" ht="18" x14ac:dyDescent="0.3">
      <c r="A7" s="27">
        <v>5</v>
      </c>
      <c r="B7" s="28">
        <f>IFERROR(INDEX('Picks &amp; Scores'!$B$4:$B$33,MATCH(LARGE('Picks &amp; Scores'!$M$4:$M$33,5),'Picks &amp; Scores'!$M$4:$M$33,0)),"")</f>
        <v>0</v>
      </c>
      <c r="C7" s="29">
        <f>IFERROR(LARGE('Picks &amp; Scores'!$M$4:$M$33,5),"")</f>
        <v>0</v>
      </c>
      <c r="D7" s="30">
        <f ca="1">IFERROR(COUNTIF(OFFSET('Picks &amp; Scores'!$D$4:$L$33,MATCH(C7,'Picks &amp; Scores'!$M$4:$M$33,0)-1,0,1,11),10),"")</f>
        <v>0</v>
      </c>
    </row>
    <row r="8" spans="1:4" ht="18" x14ac:dyDescent="0.3">
      <c r="A8" s="23">
        <v>6</v>
      </c>
      <c r="B8" s="24">
        <f>IFERROR(INDEX('Picks &amp; Scores'!$B$4:$B$33,MATCH(LARGE('Picks &amp; Scores'!$M$4:$M$33,6),'Picks &amp; Scores'!$M$4:$M$33,0)),"")</f>
        <v>0</v>
      </c>
      <c r="C8" s="25">
        <f>IFERROR(LARGE('Picks &amp; Scores'!$M$4:$M$33,6),"")</f>
        <v>0</v>
      </c>
      <c r="D8" s="26">
        <f ca="1">IFERROR(COUNTIF(OFFSET('Picks &amp; Scores'!$D$4:$L$33,MATCH(C8,'Picks &amp; Scores'!$M$4:$M$33,0)-1,0,1,11),10),"")</f>
        <v>0</v>
      </c>
    </row>
    <row r="9" spans="1:4" ht="18" x14ac:dyDescent="0.3">
      <c r="A9" s="27">
        <v>7</v>
      </c>
      <c r="B9" s="28">
        <f>IFERROR(INDEX('Picks &amp; Scores'!$B$4:$B$33,MATCH(LARGE('Picks &amp; Scores'!$M$4:$M$33,7),'Picks &amp; Scores'!$M$4:$M$33,0)),"")</f>
        <v>0</v>
      </c>
      <c r="C9" s="29">
        <f>IFERROR(LARGE('Picks &amp; Scores'!$M$4:$M$33,7),"")</f>
        <v>0</v>
      </c>
      <c r="D9" s="30">
        <f ca="1">IFERROR(COUNTIF(OFFSET('Picks &amp; Scores'!$D$4:$L$33,MATCH(C9,'Picks &amp; Scores'!$M$4:$M$33,0)-1,0,1,11),10),"")</f>
        <v>0</v>
      </c>
    </row>
    <row r="10" spans="1:4" ht="18" x14ac:dyDescent="0.3">
      <c r="A10" s="23">
        <v>8</v>
      </c>
      <c r="B10" s="24">
        <f>IFERROR(INDEX('Picks &amp; Scores'!$B$4:$B$33,MATCH(LARGE('Picks &amp; Scores'!$M$4:$M$33,8),'Picks &amp; Scores'!$M$4:$M$33,0)),"")</f>
        <v>0</v>
      </c>
      <c r="C10" s="25">
        <f>IFERROR(LARGE('Picks &amp; Scores'!$M$4:$M$33,8),"")</f>
        <v>0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>
        <f>IFERROR(INDEX('Picks &amp; Scores'!$B$4:$B$33,MATCH(LARGE('Picks &amp; Scores'!$M$4:$M$33,9),'Picks &amp; Scores'!$M$4:$M$33,0)),"")</f>
        <v>0</v>
      </c>
      <c r="C11" s="29">
        <f>IFERROR(LARGE('Picks &amp; Scores'!$M$4:$M$33,9),"")</f>
        <v>0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>
        <f>IFERROR(INDEX('Picks &amp; Scores'!$B$4:$B$33,MATCH(LARGE('Picks &amp; Scores'!$M$4:$M$33,10),'Picks &amp; Scores'!$M$4:$M$33,0)),"")</f>
        <v>0</v>
      </c>
      <c r="C12" s="25">
        <f>IFERROR(LARGE('Picks &amp; Scores'!$M$4:$M$33,10),"")</f>
        <v>0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>
        <f>IFERROR(INDEX('Picks &amp; Scores'!$B$4:$B$33,MATCH(LARGE('Picks &amp; Scores'!$M$4:$M$33,11),'Picks &amp; Scores'!$M$4:$M$33,0)),"")</f>
        <v>0</v>
      </c>
      <c r="C13" s="29">
        <f>IFERROR(LARGE('Picks &amp; Scores'!$M$4:$M$33,11),"")</f>
        <v>0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>
        <f>IFERROR(INDEX('Picks &amp; Scores'!$B$4:$B$33,MATCH(LARGE('Picks &amp; Scores'!$M$4:$M$33,12),'Picks &amp; Scores'!$M$4:$M$33,0)),"")</f>
        <v>0</v>
      </c>
      <c r="C14" s="25">
        <f>IFERROR(LARGE('Picks &amp; Scores'!$M$4:$M$33,12),"")</f>
        <v>0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>
        <f>IFERROR(INDEX('Picks &amp; Scores'!$B$4:$B$33,MATCH(LARGE('Picks &amp; Scores'!$M$4:$M$33,13),'Picks &amp; Scores'!$M$4:$M$33,0)),"")</f>
        <v>0</v>
      </c>
      <c r="C15" s="29">
        <f>IFERROR(LARGE('Picks &amp; Scores'!$M$4:$M$33,13),"")</f>
        <v>0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>
        <f>IFERROR(INDEX('Picks &amp; Scores'!$B$4:$B$33,MATCH(LARGE('Picks &amp; Scores'!$M$4:$M$33,14),'Picks &amp; Scores'!$M$4:$M$33,0)),"")</f>
        <v>0</v>
      </c>
      <c r="C16" s="25">
        <f>IFERROR(LARGE('Picks &amp; Scores'!$M$4:$M$33,14),"")</f>
        <v>0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>
        <f>IFERROR(INDEX('Picks &amp; Scores'!$B$4:$B$33,MATCH(LARGE('Picks &amp; Scores'!$M$4:$M$33,15),'Picks &amp; Scores'!$M$4:$M$33,0)),"")</f>
        <v>0</v>
      </c>
      <c r="C17" s="29">
        <f>IFERROR(LARGE('Picks &amp; Scores'!$M$4:$M$33,15),"")</f>
        <v>0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>
        <f>IFERROR(INDEX('Picks &amp; Scores'!$B$4:$B$33,MATCH(LARGE('Picks &amp; Scores'!$M$4:$M$33,16),'Picks &amp; Scores'!$M$4:$M$33,0)),"")</f>
        <v>0</v>
      </c>
      <c r="C18" s="25">
        <f>IFERROR(LARGE('Picks &amp; Scores'!$M$4:$M$33,16),"")</f>
        <v>0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>
        <f>IFERROR(INDEX('Picks &amp; Scores'!$B$4:$B$33,MATCH(LARGE('Picks &amp; Scores'!$M$4:$M$33,17),'Picks &amp; Scores'!$M$4:$M$33,0)),"")</f>
        <v>0</v>
      </c>
      <c r="C19" s="29">
        <f>IFERROR(LARGE('Picks &amp; Scores'!$M$4:$M$33,17),"")</f>
        <v>0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>
        <f>IFERROR(INDEX('Picks &amp; Scores'!$B$4:$B$33,MATCH(LARGE('Picks &amp; Scores'!$M$4:$M$33,18),'Picks &amp; Scores'!$M$4:$M$33,0)),"")</f>
        <v>0</v>
      </c>
      <c r="C20" s="25">
        <f>IFERROR(LARGE('Picks &amp; Scores'!$M$4:$M$33,18),"")</f>
        <v>0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>
        <f>IFERROR(INDEX('Picks &amp; Scores'!$B$4:$B$33,MATCH(LARGE('Picks &amp; Scores'!$M$4:$M$33,19),'Picks &amp; Scores'!$M$4:$M$33,0)),"")</f>
        <v>0</v>
      </c>
      <c r="C21" s="29">
        <f>IFERROR(LARGE('Picks &amp; Scores'!$M$4:$M$33,19),"")</f>
        <v>0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>
        <f>IFERROR(INDEX('Picks &amp; Scores'!$B$4:$B$33,MATCH(LARGE('Picks &amp; Scores'!$M$4:$M$33,20),'Picks &amp; Scores'!$M$4:$M$33,0)),"")</f>
        <v>0</v>
      </c>
      <c r="C22" s="25">
        <f>IFERROR(LARGE('Picks &amp; Scores'!$M$4:$M$33,20),"")</f>
        <v>0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>
        <f>IFERROR(INDEX('Picks &amp; Scores'!$B$4:$B$33,MATCH(LARGE('Picks &amp; Scores'!$M$4:$M$33,21),'Picks &amp; Scores'!$M$4:$M$33,0)),"")</f>
        <v>0</v>
      </c>
      <c r="C23" s="29">
        <f>IFERROR(LARGE('Picks &amp; Scores'!$M$4:$M$33,21),"")</f>
        <v>0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>
        <f>IFERROR(INDEX('Picks &amp; Scores'!$B$4:$B$33,MATCH(LARGE('Picks &amp; Scores'!$M$4:$M$33,22),'Picks &amp; Scores'!$M$4:$M$33,0)),"")</f>
        <v>0</v>
      </c>
      <c r="C24" s="25">
        <f>IFERROR(LARGE('Picks &amp; Scores'!$M$4:$M$33,22),"")</f>
        <v>0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>
        <f>IFERROR(INDEX('Picks &amp; Scores'!$B$4:$B$33,MATCH(LARGE('Picks &amp; Scores'!$M$4:$M$33,23),'Picks &amp; Scores'!$M$4:$M$33,0)),"")</f>
        <v>0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>
        <f>IFERROR(INDEX('Picks &amp; Scores'!$B$4:$B$33,MATCH(LARGE('Picks &amp; Scores'!$M$4:$M$33,24),'Picks &amp; Scores'!$M$4:$M$33,0)),"")</f>
        <v>0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>
        <f>IFERROR(INDEX('Picks &amp; Scores'!$B$4:$B$33,MATCH(LARGE('Picks &amp; Scores'!$M$4:$M$33,25),'Picks &amp; Scores'!$M$4:$M$33,0)),"")</f>
        <v>0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>
        <f>IFERROR(INDEX('Picks &amp; Scores'!$B$4:$B$33,MATCH(LARGE('Picks &amp; Scores'!$M$4:$M$33,26),'Picks &amp; Scores'!$M$4:$M$33,0)),"")</f>
        <v>0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>
        <f>IFERROR(INDEX('Picks &amp; Scores'!$B$4:$B$33,MATCH(LARGE('Picks &amp; Scores'!$M$4:$M$33,27),'Picks &amp; Scores'!$M$4:$M$33,0)),"")</f>
        <v>0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>
        <f>IFERROR(INDEX('Picks &amp; Scores'!$B$4:$B$33,MATCH(LARGE('Picks &amp; Scores'!$M$4:$M$33,28),'Picks &amp; Scores'!$M$4:$M$33,0)),"")</f>
        <v>0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>
        <f>IFERROR(INDEX('Picks &amp; Scores'!$B$4:$B$33,MATCH(LARGE('Picks &amp; Scores'!$M$4:$M$33,29),'Picks &amp; Scores'!$M$4:$M$33,0)),"")</f>
        <v>0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>
        <f>IFERROR(INDEX('Picks &amp; Scores'!$B$4:$B$33,MATCH(LARGE('Picks &amp; Scores'!$M$4:$M$33,30),'Picks &amp; Scores'!$M$4:$M$33,0)),"")</f>
        <v>0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2026-06-18T09:36:54Z</dcterms:modified>
  <dc:language>en-US</dc:language>
</cp:coreProperties>
</file>